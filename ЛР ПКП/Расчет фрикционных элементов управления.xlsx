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F5 (22-01-20)\F\HSA\Учебный процесс\Лабораторные работы по синтезу\Лаб.работа\"/>
    </mc:Choice>
  </mc:AlternateContent>
  <bookViews>
    <workbookView xWindow="480" yWindow="120" windowWidth="15195" windowHeight="9060"/>
  </bookViews>
  <sheets>
    <sheet name="q" sheetId="8" r:id="rId1"/>
  </sheets>
  <calcPr calcId="152511"/>
</workbook>
</file>

<file path=xl/calcChain.xml><?xml version="1.0" encoding="utf-8"?>
<calcChain xmlns="http://schemas.openxmlformats.org/spreadsheetml/2006/main">
  <c r="L29" i="8" l="1"/>
  <c r="L31" i="8" s="1"/>
  <c r="L33" i="8"/>
  <c r="L37" i="8" s="1"/>
  <c r="L35" i="8"/>
  <c r="L39" i="8"/>
  <c r="L41" i="8"/>
  <c r="L43" i="8"/>
  <c r="L45" i="8" s="1"/>
  <c r="H35" i="8"/>
  <c r="J35" i="8"/>
  <c r="B33" i="8"/>
  <c r="B35" i="8" s="1"/>
  <c r="D33" i="8"/>
  <c r="D35" i="8" s="1"/>
  <c r="F33" i="8"/>
  <c r="F37" i="8" s="1"/>
  <c r="H33" i="8"/>
  <c r="J33" i="8"/>
  <c r="J37" i="8"/>
  <c r="D37" i="8"/>
  <c r="J29" i="8"/>
  <c r="J31" i="8" s="1"/>
  <c r="J47" i="8" s="1"/>
  <c r="J39" i="8"/>
  <c r="J41" i="8"/>
  <c r="J43" i="8" s="1"/>
  <c r="H39" i="8"/>
  <c r="H41" i="8"/>
  <c r="H43" i="8" s="1"/>
  <c r="H37" i="8"/>
  <c r="F39" i="8"/>
  <c r="F41" i="8" s="1"/>
  <c r="F43" i="8" s="1"/>
  <c r="D39" i="8"/>
  <c r="D41" i="8" s="1"/>
  <c r="D43" i="8" s="1"/>
  <c r="B39" i="8"/>
  <c r="B41" i="8"/>
  <c r="B43" i="8" s="1"/>
  <c r="H29" i="8"/>
  <c r="H31" i="8"/>
  <c r="F29" i="8"/>
  <c r="F31" i="8" s="1"/>
  <c r="F47" i="8" s="1"/>
  <c r="D29" i="8"/>
  <c r="D31" i="8" s="1"/>
  <c r="B29" i="8"/>
  <c r="B31" i="8"/>
  <c r="B37" i="8"/>
  <c r="D49" i="8" l="1"/>
  <c r="D45" i="8"/>
  <c r="F45" i="8"/>
  <c r="J45" i="8"/>
  <c r="J49" i="8"/>
  <c r="H45" i="8"/>
  <c r="H49" i="8"/>
  <c r="H47" i="8"/>
  <c r="D47" i="8"/>
  <c r="B47" i="8"/>
  <c r="B45" i="8"/>
  <c r="B49" i="8"/>
  <c r="L47" i="8"/>
  <c r="L49" i="8"/>
  <c r="F35" i="8"/>
  <c r="F49" i="8" s="1"/>
</calcChain>
</file>

<file path=xl/sharedStrings.xml><?xml version="1.0" encoding="utf-8"?>
<sst xmlns="http://schemas.openxmlformats.org/spreadsheetml/2006/main" count="28" uniqueCount="28">
  <si>
    <t>Ширина дисков, мм</t>
  </si>
  <si>
    <t>Внутренний радиус дисков, мм</t>
  </si>
  <si>
    <t>Внешний радиус поршня, мм</t>
  </si>
  <si>
    <t>Внутренний радиус поршня, мм</t>
  </si>
  <si>
    <t>Сила, развиваемая отжимной пружиной, Н</t>
  </si>
  <si>
    <t>Сила, воздействующая на пакет дисков, Н</t>
  </si>
  <si>
    <t>Внешний радиус дисков, мм</t>
  </si>
  <si>
    <t>Момент, передаваемый фрикционным элементом, Нм</t>
  </si>
  <si>
    <t>Максимальный момент двигателя, Нм</t>
  </si>
  <si>
    <t>Средний радиус дисков, мм</t>
  </si>
  <si>
    <t>Сила, развиваемая поршнем, Н</t>
  </si>
  <si>
    <t>Расчетный момент фрикционного элемента, Нм</t>
  </si>
  <si>
    <t>T2</t>
  </si>
  <si>
    <t>T1</t>
  </si>
  <si>
    <t>T3</t>
  </si>
  <si>
    <t>M1</t>
  </si>
  <si>
    <t>M2</t>
  </si>
  <si>
    <t>T4</t>
  </si>
  <si>
    <t>PI (π)</t>
  </si>
  <si>
    <t>Площадь поршня, мм^2</t>
  </si>
  <si>
    <r>
      <t>Давление в системе управления, (</t>
    </r>
    <r>
      <rPr>
        <b/>
        <sz val="14"/>
        <color indexed="10"/>
        <rFont val="Arial"/>
        <family val="2"/>
        <charset val="204"/>
      </rPr>
      <t>1 - 2 МПа</t>
    </r>
    <r>
      <rPr>
        <b/>
        <sz val="14"/>
        <color indexed="12"/>
        <rFont val="Arial"/>
        <family val="2"/>
        <charset val="204"/>
      </rPr>
      <t>)</t>
    </r>
  </si>
  <si>
    <r>
      <t>Коэффициент трения (</t>
    </r>
    <r>
      <rPr>
        <b/>
        <sz val="14"/>
        <color indexed="10"/>
        <rFont val="Arial"/>
        <family val="2"/>
        <charset val="204"/>
      </rPr>
      <t>0,08 - 0,12 для пары Ст-Мк; 0,12 - 0,16 для пары Ст-Цллюлоза</t>
    </r>
    <r>
      <rPr>
        <b/>
        <sz val="14"/>
        <color indexed="12"/>
        <rFont val="Arial"/>
        <family val="2"/>
        <charset val="204"/>
      </rPr>
      <t>)</t>
    </r>
  </si>
  <si>
    <r>
      <t>Гамма (γ) (</t>
    </r>
    <r>
      <rPr>
        <b/>
        <sz val="14"/>
        <color indexed="10"/>
        <rFont val="Arial"/>
        <family val="2"/>
        <charset val="204"/>
      </rPr>
      <t>0,1 - 0,2</t>
    </r>
    <r>
      <rPr>
        <b/>
        <sz val="14"/>
        <color indexed="12"/>
        <rFont val="Arial"/>
        <family val="2"/>
        <charset val="204"/>
      </rPr>
      <t>)</t>
    </r>
  </si>
  <si>
    <r>
      <t>Коэффициент запаса (</t>
    </r>
    <r>
      <rPr>
        <b/>
        <sz val="14"/>
        <color indexed="10"/>
        <rFont val="Arial"/>
        <family val="2"/>
        <charset val="204"/>
      </rPr>
      <t>1,1 -1,3</t>
    </r>
    <r>
      <rPr>
        <b/>
        <sz val="14"/>
        <color indexed="12"/>
        <rFont val="Arial"/>
        <family val="2"/>
        <charset val="204"/>
      </rPr>
      <t>)</t>
    </r>
  </si>
  <si>
    <r>
      <t>Удельное давление в дисках, Мпа (</t>
    </r>
    <r>
      <rPr>
        <b/>
        <sz val="14"/>
        <color indexed="10"/>
        <rFont val="Arial"/>
        <family val="2"/>
        <charset val="204"/>
      </rPr>
      <t>&lt; 4 МПа</t>
    </r>
    <r>
      <rPr>
        <b/>
        <sz val="14"/>
        <rFont val="Arial"/>
        <family val="2"/>
        <charset val="204"/>
      </rPr>
      <t>)</t>
    </r>
  </si>
  <si>
    <r>
      <t>Число пар трения z (</t>
    </r>
    <r>
      <rPr>
        <b/>
        <sz val="14"/>
        <color indexed="10"/>
        <rFont val="Arial"/>
        <family val="2"/>
        <charset val="204"/>
      </rPr>
      <t>округляется до большего четного числа</t>
    </r>
    <r>
      <rPr>
        <b/>
        <sz val="14"/>
        <rFont val="Arial"/>
        <family val="2"/>
        <charset val="204"/>
      </rPr>
      <t>)</t>
    </r>
  </si>
  <si>
    <r>
      <t>Лямда (λ) (</t>
    </r>
    <r>
      <rPr>
        <b/>
        <sz val="14"/>
        <color indexed="10"/>
        <rFont val="Arial"/>
        <family val="2"/>
        <charset val="204"/>
      </rPr>
      <t>0,2 -0,6</t>
    </r>
    <r>
      <rPr>
        <b/>
        <sz val="14"/>
        <color indexed="12"/>
        <rFont val="Arial"/>
        <family val="2"/>
        <charset val="204"/>
      </rPr>
      <t>)</t>
    </r>
  </si>
  <si>
    <t>Относительный момент, воспринимаемый элементом управления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</si>
</sst>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3" formatCode="0.0000"/>
  </numFmts>
  <fonts count="16" x14ac:knownFonts="1">
    <font>
      <sz val="10"/>
      <name val="Arial Cyr"/>
      <charset val="204"/>
    </font>
    <font>
      <sz val="8"/>
      <name val="Arial Cyr"/>
      <charset val="204"/>
    </font>
    <font>
      <b/>
      <sz val="10"/>
      <name val="Arial Cyr"/>
      <charset val="204"/>
    </font>
    <font>
      <b/>
      <sz val="14"/>
      <name val="Arial Cyr"/>
      <charset val="204"/>
    </font>
    <font>
      <sz val="14"/>
      <name val="Arial Cyr"/>
      <charset val="204"/>
    </font>
    <font>
      <b/>
      <sz val="20"/>
      <color indexed="8"/>
      <name val="Arial Cyr"/>
      <charset val="204"/>
    </font>
    <font>
      <b/>
      <sz val="20"/>
      <color indexed="10"/>
      <name val="Arial Cyr"/>
      <charset val="204"/>
    </font>
    <font>
      <b/>
      <sz val="20"/>
      <name val="Arial Cyr"/>
      <charset val="204"/>
    </font>
    <font>
      <b/>
      <sz val="14"/>
      <color indexed="12"/>
      <name val="Arial Cyr"/>
      <charset val="204"/>
    </font>
    <font>
      <b/>
      <sz val="14"/>
      <color indexed="17"/>
      <name val="Arial Cyr"/>
      <charset val="204"/>
    </font>
    <font>
      <b/>
      <sz val="14"/>
      <color indexed="48"/>
      <name val="Arial Cyr"/>
      <charset val="204"/>
    </font>
    <font>
      <b/>
      <sz val="14"/>
      <color indexed="10"/>
      <name val="Arial Cyr"/>
      <charset val="204"/>
    </font>
    <font>
      <b/>
      <sz val="14"/>
      <color indexed="12"/>
      <name val="Arial"/>
      <family val="2"/>
      <charset val="204"/>
    </font>
    <font>
      <b/>
      <sz val="14"/>
      <name val="Arial"/>
      <family val="2"/>
      <charset val="204"/>
    </font>
    <font>
      <sz val="14"/>
      <name val="Arial"/>
      <family val="2"/>
      <charset val="204"/>
    </font>
    <font>
      <b/>
      <sz val="14"/>
      <color indexed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2" fontId="2" fillId="0" borderId="0" xfId="0" applyNumberFormat="1" applyFont="1" applyAlignment="1">
      <alignment horizontal="center"/>
    </xf>
    <xf numFmtId="2" fontId="2" fillId="0" borderId="1" xfId="0" applyNumberFormat="1" applyFont="1" applyBorder="1" applyAlignment="1">
      <alignment vertical="center"/>
    </xf>
    <xf numFmtId="2" fontId="5" fillId="2" borderId="2" xfId="0" applyNumberFormat="1" applyFont="1" applyFill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2" fontId="7" fillId="2" borderId="3" xfId="0" applyNumberFormat="1" applyFont="1" applyFill="1" applyBorder="1" applyAlignment="1">
      <alignment horizontal="center" vertical="center"/>
    </xf>
    <xf numFmtId="2" fontId="6" fillId="0" borderId="3" xfId="0" applyNumberFormat="1" applyFont="1" applyFill="1" applyBorder="1" applyAlignment="1">
      <alignment horizontal="center" vertical="center"/>
    </xf>
    <xf numFmtId="2" fontId="8" fillId="2" borderId="4" xfId="0" applyNumberFormat="1" applyFont="1" applyFill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2" fontId="8" fillId="0" borderId="5" xfId="0" applyNumberFormat="1" applyFont="1" applyFill="1" applyBorder="1" applyAlignment="1">
      <alignment horizontal="center" vertical="center"/>
    </xf>
    <xf numFmtId="2" fontId="8" fillId="2" borderId="5" xfId="0" applyNumberFormat="1" applyFont="1" applyFill="1" applyBorder="1" applyAlignment="1">
      <alignment horizontal="center" vertical="center"/>
    </xf>
    <xf numFmtId="2" fontId="3" fillId="2" borderId="4" xfId="0" applyNumberFormat="1" applyFont="1" applyFill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2" borderId="5" xfId="0" applyNumberFormat="1" applyFont="1" applyFill="1" applyBorder="1" applyAlignment="1">
      <alignment horizontal="center" vertical="center"/>
    </xf>
    <xf numFmtId="2" fontId="3" fillId="0" borderId="5" xfId="0" applyNumberFormat="1" applyFont="1" applyFill="1" applyBorder="1" applyAlignment="1">
      <alignment horizontal="center" vertical="center"/>
    </xf>
    <xf numFmtId="173" fontId="8" fillId="2" borderId="4" xfId="0" applyNumberFormat="1" applyFont="1" applyFill="1" applyBorder="1" applyAlignment="1">
      <alignment horizontal="center" vertical="center"/>
    </xf>
    <xf numFmtId="173" fontId="8" fillId="0" borderId="5" xfId="0" applyNumberFormat="1" applyFont="1" applyBorder="1" applyAlignment="1">
      <alignment horizontal="center" vertical="center"/>
    </xf>
    <xf numFmtId="173" fontId="8" fillId="2" borderId="5" xfId="0" applyNumberFormat="1" applyFont="1" applyFill="1" applyBorder="1" applyAlignment="1">
      <alignment horizontal="center" vertical="center"/>
    </xf>
    <xf numFmtId="173" fontId="8" fillId="0" borderId="5" xfId="0" applyNumberFormat="1" applyFont="1" applyFill="1" applyBorder="1" applyAlignment="1">
      <alignment horizontal="center" vertical="center"/>
    </xf>
    <xf numFmtId="2" fontId="9" fillId="2" borderId="4" xfId="0" applyNumberFormat="1" applyFont="1" applyFill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/>
    </xf>
    <xf numFmtId="2" fontId="9" fillId="2" borderId="5" xfId="0" applyNumberFormat="1" applyFont="1" applyFill="1" applyBorder="1" applyAlignment="1">
      <alignment horizontal="center" vertical="center"/>
    </xf>
    <xf numFmtId="2" fontId="9" fillId="0" borderId="5" xfId="0" applyNumberFormat="1" applyFont="1" applyFill="1" applyBorder="1" applyAlignment="1">
      <alignment horizontal="center" vertical="center"/>
    </xf>
    <xf numFmtId="2" fontId="10" fillId="2" borderId="4" xfId="0" applyNumberFormat="1" applyFont="1" applyFill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2" fontId="10" fillId="2" borderId="5" xfId="0" applyNumberFormat="1" applyFont="1" applyFill="1" applyBorder="1" applyAlignment="1">
      <alignment horizontal="center" vertical="center"/>
    </xf>
    <xf numFmtId="2" fontId="10" fillId="0" borderId="5" xfId="0" applyNumberFormat="1" applyFont="1" applyFill="1" applyBorder="1" applyAlignment="1">
      <alignment horizontal="center" vertical="center"/>
    </xf>
    <xf numFmtId="1" fontId="11" fillId="2" borderId="4" xfId="0" applyNumberFormat="1" applyFont="1" applyFill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center"/>
    </xf>
    <xf numFmtId="1" fontId="11" fillId="2" borderId="5" xfId="0" applyNumberFormat="1" applyFont="1" applyFill="1" applyBorder="1" applyAlignment="1">
      <alignment horizontal="center" vertical="center"/>
    </xf>
    <xf numFmtId="1" fontId="11" fillId="0" borderId="5" xfId="0" applyNumberFormat="1" applyFont="1" applyFill="1" applyBorder="1" applyAlignment="1">
      <alignment horizontal="center" vertical="center"/>
    </xf>
    <xf numFmtId="2" fontId="11" fillId="2" borderId="6" xfId="0" applyNumberFormat="1" applyFont="1" applyFill="1" applyBorder="1" applyAlignment="1">
      <alignment horizontal="center" vertical="center"/>
    </xf>
    <xf numFmtId="2" fontId="11" fillId="0" borderId="7" xfId="0" applyNumberFormat="1" applyFont="1" applyBorder="1" applyAlignment="1">
      <alignment horizontal="center" vertical="center"/>
    </xf>
    <xf numFmtId="2" fontId="11" fillId="2" borderId="7" xfId="0" applyNumberFormat="1" applyFont="1" applyFill="1" applyBorder="1" applyAlignment="1">
      <alignment horizontal="center" vertical="center"/>
    </xf>
    <xf numFmtId="2" fontId="11" fillId="0" borderId="7" xfId="0" applyNumberFormat="1" applyFont="1" applyFill="1" applyBorder="1" applyAlignment="1">
      <alignment horizontal="center" vertical="center"/>
    </xf>
    <xf numFmtId="2" fontId="12" fillId="0" borderId="8" xfId="0" applyNumberFormat="1" applyFont="1" applyBorder="1" applyAlignment="1">
      <alignment vertical="center"/>
    </xf>
    <xf numFmtId="173" fontId="12" fillId="0" borderId="8" xfId="0" applyNumberFormat="1" applyFont="1" applyBorder="1" applyAlignment="1">
      <alignment vertical="center"/>
    </xf>
    <xf numFmtId="2" fontId="13" fillId="3" borderId="8" xfId="0" applyNumberFormat="1" applyFont="1" applyFill="1" applyBorder="1" applyAlignment="1">
      <alignment vertical="center"/>
    </xf>
    <xf numFmtId="2" fontId="13" fillId="0" borderId="8" xfId="0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2" fontId="13" fillId="0" borderId="8" xfId="0" applyNumberFormat="1" applyFont="1" applyFill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2" fontId="3" fillId="2" borderId="8" xfId="0" applyNumberFormat="1" applyFont="1" applyFill="1" applyBorder="1" applyAlignment="1">
      <alignment horizontal="center" vertical="center"/>
    </xf>
    <xf numFmtId="2" fontId="3" fillId="2" borderId="12" xfId="0" applyNumberFormat="1" applyFont="1" applyFill="1" applyBorder="1" applyAlignment="1">
      <alignment horizontal="center" vertical="center"/>
    </xf>
    <xf numFmtId="2" fontId="3" fillId="2" borderId="13" xfId="0" applyNumberFormat="1" applyFont="1" applyFill="1" applyBorder="1" applyAlignment="1">
      <alignment horizontal="center" vertical="center"/>
    </xf>
    <xf numFmtId="2" fontId="9" fillId="2" borderId="8" xfId="0" applyNumberFormat="1" applyFont="1" applyFill="1" applyBorder="1" applyAlignment="1">
      <alignment horizontal="center" vertical="center"/>
    </xf>
    <xf numFmtId="2" fontId="9" fillId="2" borderId="12" xfId="0" applyNumberFormat="1" applyFont="1" applyFill="1" applyBorder="1" applyAlignment="1">
      <alignment horizontal="center" vertical="center"/>
    </xf>
    <xf numFmtId="2" fontId="9" fillId="2" borderId="13" xfId="0" applyNumberFormat="1" applyFont="1" applyFill="1" applyBorder="1" applyAlignment="1">
      <alignment horizontal="center" vertical="center"/>
    </xf>
    <xf numFmtId="2" fontId="10" fillId="2" borderId="8" xfId="0" applyNumberFormat="1" applyFont="1" applyFill="1" applyBorder="1" applyAlignment="1">
      <alignment horizontal="center" vertical="center"/>
    </xf>
    <xf numFmtId="2" fontId="10" fillId="2" borderId="12" xfId="0" applyNumberFormat="1" applyFont="1" applyFill="1" applyBorder="1" applyAlignment="1">
      <alignment horizontal="center" vertical="center"/>
    </xf>
    <xf numFmtId="2" fontId="10" fillId="2" borderId="13" xfId="0" applyNumberFormat="1" applyFont="1" applyFill="1" applyBorder="1" applyAlignment="1">
      <alignment horizontal="center" vertical="center"/>
    </xf>
    <xf numFmtId="2" fontId="3" fillId="3" borderId="8" xfId="0" applyNumberFormat="1" applyFont="1" applyFill="1" applyBorder="1" applyAlignment="1">
      <alignment horizontal="center" vertical="center"/>
    </xf>
    <xf numFmtId="2" fontId="3" fillId="3" borderId="12" xfId="0" applyNumberFormat="1" applyFont="1" applyFill="1" applyBorder="1" applyAlignment="1">
      <alignment horizontal="center" vertical="center"/>
    </xf>
    <xf numFmtId="2" fontId="3" fillId="3" borderId="1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3" fillId="0" borderId="9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2" fontId="8" fillId="2" borderId="8" xfId="0" applyNumberFormat="1" applyFont="1" applyFill="1" applyBorder="1" applyAlignment="1">
      <alignment horizontal="center" vertical="center"/>
    </xf>
    <xf numFmtId="2" fontId="8" fillId="2" borderId="12" xfId="0" applyNumberFormat="1" applyFont="1" applyFill="1" applyBorder="1" applyAlignment="1">
      <alignment horizontal="center" vertical="center"/>
    </xf>
    <xf numFmtId="2" fontId="8" fillId="2" borderId="1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49"/>
  <sheetViews>
    <sheetView tabSelected="1" topLeftCell="A4" zoomScale="70" zoomScaleNormal="70" workbookViewId="0">
      <selection activeCell="A31" sqref="A31"/>
    </sheetView>
  </sheetViews>
  <sheetFormatPr defaultRowHeight="12.75" x14ac:dyDescent="0.2"/>
  <cols>
    <col min="1" max="1" width="118.5703125" customWidth="1"/>
    <col min="2" max="2" width="14" customWidth="1"/>
    <col min="4" max="4" width="14.42578125" customWidth="1"/>
    <col min="6" max="6" width="17.42578125" customWidth="1"/>
    <col min="8" max="8" width="13.5703125" customWidth="1"/>
    <col min="10" max="10" width="16" customWidth="1"/>
    <col min="12" max="12" width="14.42578125" customWidth="1"/>
  </cols>
  <sheetData>
    <row r="4" spans="1:12" ht="18" x14ac:dyDescent="0.25">
      <c r="A4" s="58"/>
      <c r="B4" s="59"/>
      <c r="C4" s="59"/>
      <c r="D4" s="59"/>
      <c r="E4" s="59"/>
      <c r="F4" s="59"/>
      <c r="G4" s="59"/>
      <c r="H4" s="59"/>
      <c r="I4" s="59"/>
      <c r="J4" s="59"/>
    </row>
    <row r="5" spans="1:12" ht="13.5" thickBot="1" x14ac:dyDescent="0.25">
      <c r="B5" s="1"/>
      <c r="C5" s="1"/>
      <c r="D5" s="1"/>
      <c r="E5" s="1"/>
      <c r="F5" s="1"/>
      <c r="G5" s="1"/>
      <c r="H5" s="1"/>
      <c r="I5" s="1"/>
      <c r="J5" s="1"/>
    </row>
    <row r="6" spans="1:12" ht="26.25" x14ac:dyDescent="0.2">
      <c r="A6" s="2"/>
      <c r="B6" s="3" t="s">
        <v>13</v>
      </c>
      <c r="C6" s="4"/>
      <c r="D6" s="4" t="s">
        <v>12</v>
      </c>
      <c r="E6" s="4"/>
      <c r="F6" s="5" t="s">
        <v>14</v>
      </c>
      <c r="G6" s="6"/>
      <c r="H6" s="7" t="s">
        <v>17</v>
      </c>
      <c r="I6" s="8"/>
      <c r="J6" s="8" t="s">
        <v>15</v>
      </c>
      <c r="K6" s="8"/>
      <c r="L6" s="8" t="s">
        <v>16</v>
      </c>
    </row>
    <row r="7" spans="1:12" ht="18" x14ac:dyDescent="0.2">
      <c r="A7" s="38" t="s">
        <v>8</v>
      </c>
      <c r="B7" s="9">
        <v>3150</v>
      </c>
      <c r="C7" s="10"/>
      <c r="D7" s="11">
        <v>3150</v>
      </c>
      <c r="E7" s="10"/>
      <c r="F7" s="9">
        <v>3150</v>
      </c>
      <c r="G7" s="10"/>
      <c r="H7" s="12">
        <v>3150</v>
      </c>
      <c r="I7" s="12"/>
      <c r="J7" s="12">
        <v>3150</v>
      </c>
      <c r="K7" s="12"/>
      <c r="L7" s="12">
        <v>3150</v>
      </c>
    </row>
    <row r="8" spans="1:12" ht="18" x14ac:dyDescent="0.2">
      <c r="A8" s="38"/>
      <c r="B8" s="62"/>
      <c r="C8" s="63"/>
      <c r="D8" s="63"/>
      <c r="E8" s="63"/>
      <c r="F8" s="63"/>
      <c r="G8" s="63"/>
      <c r="H8" s="63"/>
      <c r="I8" s="63"/>
      <c r="J8" s="63"/>
      <c r="K8" s="63"/>
      <c r="L8" s="64"/>
    </row>
    <row r="9" spans="1:12" ht="18" x14ac:dyDescent="0.2">
      <c r="A9" s="38" t="s">
        <v>2</v>
      </c>
      <c r="B9" s="9">
        <v>185</v>
      </c>
      <c r="C9" s="10"/>
      <c r="D9" s="10">
        <v>225</v>
      </c>
      <c r="E9" s="10"/>
      <c r="F9" s="13">
        <v>225</v>
      </c>
      <c r="G9" s="10"/>
      <c r="H9" s="13">
        <v>115</v>
      </c>
      <c r="I9" s="12"/>
      <c r="J9" s="12">
        <v>144</v>
      </c>
      <c r="K9" s="12"/>
      <c r="L9" s="12">
        <v>144</v>
      </c>
    </row>
    <row r="10" spans="1:12" ht="18" x14ac:dyDescent="0.2">
      <c r="A10" s="38"/>
      <c r="B10" s="62"/>
      <c r="C10" s="63"/>
      <c r="D10" s="63"/>
      <c r="E10" s="63"/>
      <c r="F10" s="63"/>
      <c r="G10" s="63"/>
      <c r="H10" s="63"/>
      <c r="I10" s="63"/>
      <c r="J10" s="63"/>
      <c r="K10" s="63"/>
      <c r="L10" s="64"/>
    </row>
    <row r="11" spans="1:12" ht="18" x14ac:dyDescent="0.2">
      <c r="A11" s="38" t="s">
        <v>3</v>
      </c>
      <c r="B11" s="9">
        <v>135</v>
      </c>
      <c r="C11" s="10"/>
      <c r="D11" s="10">
        <v>200</v>
      </c>
      <c r="E11" s="10"/>
      <c r="F11" s="13">
        <v>175</v>
      </c>
      <c r="G11" s="10"/>
      <c r="H11" s="13">
        <v>45</v>
      </c>
      <c r="I11" s="12"/>
      <c r="J11" s="12">
        <v>45</v>
      </c>
      <c r="K11" s="12"/>
      <c r="L11" s="12">
        <v>45</v>
      </c>
    </row>
    <row r="12" spans="1:12" ht="18" x14ac:dyDescent="0.2">
      <c r="A12" s="38"/>
      <c r="B12" s="62"/>
      <c r="C12" s="63"/>
      <c r="D12" s="63"/>
      <c r="E12" s="63"/>
      <c r="F12" s="63"/>
      <c r="G12" s="63"/>
      <c r="H12" s="63"/>
      <c r="I12" s="63"/>
      <c r="J12" s="63"/>
      <c r="K12" s="63"/>
      <c r="L12" s="64"/>
    </row>
    <row r="13" spans="1:12" ht="18" x14ac:dyDescent="0.2">
      <c r="A13" s="38" t="s">
        <v>21</v>
      </c>
      <c r="B13" s="13">
        <v>0.13</v>
      </c>
      <c r="C13" s="10"/>
      <c r="D13" s="10">
        <v>0.13</v>
      </c>
      <c r="E13" s="10"/>
      <c r="F13" s="13">
        <v>0.13</v>
      </c>
      <c r="G13" s="10"/>
      <c r="H13" s="13">
        <v>0.13</v>
      </c>
      <c r="I13" s="12"/>
      <c r="J13" s="12">
        <v>0.13</v>
      </c>
      <c r="K13" s="12"/>
      <c r="L13" s="12">
        <v>0.13</v>
      </c>
    </row>
    <row r="14" spans="1:12" ht="18" x14ac:dyDescent="0.2">
      <c r="A14" s="38"/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4"/>
    </row>
    <row r="15" spans="1:12" ht="18" x14ac:dyDescent="0.2">
      <c r="A15" s="38" t="s">
        <v>20</v>
      </c>
      <c r="B15" s="9">
        <v>1.5</v>
      </c>
      <c r="C15" s="9"/>
      <c r="D15" s="9">
        <v>1.5</v>
      </c>
      <c r="E15" s="9"/>
      <c r="F15" s="9">
        <v>1.5</v>
      </c>
      <c r="G15" s="9"/>
      <c r="H15" s="9">
        <v>1.5</v>
      </c>
      <c r="I15" s="9"/>
      <c r="J15" s="9">
        <v>1.5</v>
      </c>
      <c r="K15" s="9"/>
      <c r="L15" s="9">
        <v>1.5</v>
      </c>
    </row>
    <row r="16" spans="1:12" ht="18" x14ac:dyDescent="0.2">
      <c r="A16" s="38"/>
      <c r="B16" s="62"/>
      <c r="C16" s="63"/>
      <c r="D16" s="63"/>
      <c r="E16" s="63"/>
      <c r="F16" s="63"/>
      <c r="G16" s="63"/>
      <c r="H16" s="63"/>
      <c r="I16" s="63"/>
      <c r="J16" s="63"/>
      <c r="K16" s="63"/>
      <c r="L16" s="64"/>
    </row>
    <row r="17" spans="1:12" ht="18" x14ac:dyDescent="0.2">
      <c r="A17" s="38" t="s">
        <v>1</v>
      </c>
      <c r="B17" s="9">
        <v>185</v>
      </c>
      <c r="C17" s="10"/>
      <c r="D17" s="10">
        <v>225</v>
      </c>
      <c r="E17" s="10"/>
      <c r="F17" s="13">
        <v>225</v>
      </c>
      <c r="G17" s="10"/>
      <c r="H17" s="13">
        <v>162</v>
      </c>
      <c r="I17" s="12"/>
      <c r="J17" s="12">
        <v>194</v>
      </c>
      <c r="K17" s="12"/>
      <c r="L17" s="12">
        <v>194</v>
      </c>
    </row>
    <row r="18" spans="1:12" ht="18" x14ac:dyDescent="0.2">
      <c r="A18" s="38"/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8"/>
    </row>
    <row r="19" spans="1:12" ht="18" x14ac:dyDescent="0.2">
      <c r="A19" s="38" t="s">
        <v>26</v>
      </c>
      <c r="B19" s="9">
        <v>0.2</v>
      </c>
      <c r="C19" s="10"/>
      <c r="D19" s="10">
        <v>0.2</v>
      </c>
      <c r="E19" s="10"/>
      <c r="F19" s="13">
        <v>0.2</v>
      </c>
      <c r="G19" s="10"/>
      <c r="H19" s="13">
        <v>0.2</v>
      </c>
      <c r="I19" s="12"/>
      <c r="J19" s="12">
        <v>0.2</v>
      </c>
      <c r="K19" s="12"/>
      <c r="L19" s="12">
        <v>0.2</v>
      </c>
    </row>
    <row r="20" spans="1:12" ht="18" x14ac:dyDescent="0.2">
      <c r="A20" s="38"/>
      <c r="B20" s="62"/>
      <c r="C20" s="63"/>
      <c r="D20" s="63"/>
      <c r="E20" s="63"/>
      <c r="F20" s="63"/>
      <c r="G20" s="63"/>
      <c r="H20" s="63"/>
      <c r="I20" s="63"/>
      <c r="J20" s="63"/>
      <c r="K20" s="63"/>
      <c r="L20" s="64"/>
    </row>
    <row r="21" spans="1:12" ht="18" x14ac:dyDescent="0.2">
      <c r="A21" s="39" t="s">
        <v>22</v>
      </c>
      <c r="B21" s="18">
        <v>0.13</v>
      </c>
      <c r="C21" s="19"/>
      <c r="D21" s="19">
        <v>0.11</v>
      </c>
      <c r="E21" s="19"/>
      <c r="F21" s="20">
        <v>0.11</v>
      </c>
      <c r="G21" s="19"/>
      <c r="H21" s="20">
        <v>0.13</v>
      </c>
      <c r="I21" s="21"/>
      <c r="J21" s="21">
        <v>0.14000000000000001</v>
      </c>
      <c r="K21" s="21"/>
      <c r="L21" s="21">
        <v>0.14000000000000001</v>
      </c>
    </row>
    <row r="22" spans="1:12" ht="18" x14ac:dyDescent="0.2">
      <c r="A22" s="38"/>
      <c r="B22" s="46"/>
      <c r="C22" s="47"/>
      <c r="D22" s="47"/>
      <c r="E22" s="47"/>
      <c r="F22" s="47"/>
      <c r="G22" s="47"/>
      <c r="H22" s="47"/>
      <c r="I22" s="47"/>
      <c r="J22" s="47"/>
      <c r="K22" s="47"/>
      <c r="L22" s="48"/>
    </row>
    <row r="23" spans="1:12" ht="18" x14ac:dyDescent="0.2">
      <c r="A23" s="38" t="s">
        <v>18</v>
      </c>
      <c r="B23" s="22">
        <v>3.14</v>
      </c>
      <c r="C23" s="23"/>
      <c r="D23" s="23">
        <v>3.14</v>
      </c>
      <c r="E23" s="23"/>
      <c r="F23" s="24">
        <v>3.14</v>
      </c>
      <c r="G23" s="23"/>
      <c r="H23" s="24">
        <v>3.14</v>
      </c>
      <c r="I23" s="25"/>
      <c r="J23" s="25">
        <v>3.14</v>
      </c>
      <c r="K23" s="25"/>
      <c r="L23" s="25">
        <v>3.14</v>
      </c>
    </row>
    <row r="24" spans="1:12" ht="18" x14ac:dyDescent="0.2">
      <c r="A24" s="38"/>
      <c r="B24" s="49"/>
      <c r="C24" s="50"/>
      <c r="D24" s="50"/>
      <c r="E24" s="50"/>
      <c r="F24" s="50"/>
      <c r="G24" s="50"/>
      <c r="H24" s="50"/>
      <c r="I24" s="50"/>
      <c r="J24" s="50"/>
      <c r="K24" s="50"/>
      <c r="L24" s="51"/>
    </row>
    <row r="25" spans="1:12" ht="18" x14ac:dyDescent="0.2">
      <c r="A25" s="38" t="s">
        <v>23</v>
      </c>
      <c r="B25" s="26">
        <v>1.1000000000000001</v>
      </c>
      <c r="C25" s="27"/>
      <c r="D25" s="27">
        <v>1.1000000000000001</v>
      </c>
      <c r="E25" s="27"/>
      <c r="F25" s="28">
        <v>1</v>
      </c>
      <c r="G25" s="27"/>
      <c r="H25" s="28">
        <v>1.1000000000000001</v>
      </c>
      <c r="I25" s="29"/>
      <c r="J25" s="29">
        <v>1.1000000000000001</v>
      </c>
      <c r="K25" s="29"/>
      <c r="L25" s="29">
        <v>1.1000000000000001</v>
      </c>
    </row>
    <row r="26" spans="1:12" ht="18" x14ac:dyDescent="0.2">
      <c r="A26" s="38"/>
      <c r="B26" s="52"/>
      <c r="C26" s="53"/>
      <c r="D26" s="53"/>
      <c r="E26" s="53"/>
      <c r="F26" s="53"/>
      <c r="G26" s="53"/>
      <c r="H26" s="53"/>
      <c r="I26" s="53"/>
      <c r="J26" s="53"/>
      <c r="K26" s="53"/>
      <c r="L26" s="54"/>
    </row>
    <row r="27" spans="1:12" ht="18" x14ac:dyDescent="0.2">
      <c r="A27" s="38" t="s">
        <v>27</v>
      </c>
      <c r="B27" s="9">
        <v>0.74</v>
      </c>
      <c r="C27" s="10"/>
      <c r="D27" s="10">
        <v>0.63200000000000001</v>
      </c>
      <c r="E27" s="10"/>
      <c r="F27" s="13">
        <v>1.5</v>
      </c>
      <c r="G27" s="10"/>
      <c r="H27" s="13">
        <v>1.4</v>
      </c>
      <c r="I27" s="12"/>
      <c r="J27" s="12">
        <v>3.03</v>
      </c>
      <c r="K27" s="12"/>
      <c r="L27" s="12">
        <v>3.03</v>
      </c>
    </row>
    <row r="28" spans="1:12" ht="18" x14ac:dyDescent="0.2">
      <c r="A28" s="40"/>
      <c r="B28" s="55"/>
      <c r="C28" s="56"/>
      <c r="D28" s="56"/>
      <c r="E28" s="56"/>
      <c r="F28" s="56"/>
      <c r="G28" s="56"/>
      <c r="H28" s="56"/>
      <c r="I28" s="56"/>
      <c r="J28" s="56"/>
      <c r="K28" s="56"/>
      <c r="L28" s="57"/>
    </row>
    <row r="29" spans="1:12" ht="18" x14ac:dyDescent="0.2">
      <c r="A29" s="41" t="s">
        <v>7</v>
      </c>
      <c r="B29" s="14">
        <f>B7*B27</f>
        <v>2331</v>
      </c>
      <c r="C29" s="15"/>
      <c r="D29" s="15">
        <f>D7*D27</f>
        <v>1990.8</v>
      </c>
      <c r="E29" s="15"/>
      <c r="F29" s="16">
        <f>F7*F27</f>
        <v>4725</v>
      </c>
      <c r="G29" s="15"/>
      <c r="H29" s="16">
        <f>H7*H27</f>
        <v>4410</v>
      </c>
      <c r="I29" s="17"/>
      <c r="J29" s="17">
        <f>J7*J27</f>
        <v>9544.5</v>
      </c>
      <c r="K29" s="17"/>
      <c r="L29" s="17">
        <f>L7*L27</f>
        <v>9544.5</v>
      </c>
    </row>
    <row r="30" spans="1:12" ht="18" x14ac:dyDescent="0.2">
      <c r="A30" s="41"/>
      <c r="B30" s="46"/>
      <c r="C30" s="47"/>
      <c r="D30" s="47"/>
      <c r="E30" s="47"/>
      <c r="F30" s="47"/>
      <c r="G30" s="47"/>
      <c r="H30" s="47"/>
      <c r="I30" s="47"/>
      <c r="J30" s="47"/>
      <c r="K30" s="47"/>
      <c r="L30" s="48"/>
    </row>
    <row r="31" spans="1:12" ht="18" x14ac:dyDescent="0.2">
      <c r="A31" s="41" t="s">
        <v>11</v>
      </c>
      <c r="B31" s="14">
        <f>B29*B25</f>
        <v>2564.1000000000004</v>
      </c>
      <c r="C31" s="15"/>
      <c r="D31" s="15">
        <f>D29*D25</f>
        <v>2189.88</v>
      </c>
      <c r="E31" s="15"/>
      <c r="F31" s="16">
        <f>F29*F25</f>
        <v>4725</v>
      </c>
      <c r="G31" s="15"/>
      <c r="H31" s="16">
        <f>H29*H25</f>
        <v>4851</v>
      </c>
      <c r="I31" s="17"/>
      <c r="J31" s="17">
        <f>J29*J25</f>
        <v>10498.95</v>
      </c>
      <c r="K31" s="17"/>
      <c r="L31" s="17">
        <f>L29*L25</f>
        <v>10498.95</v>
      </c>
    </row>
    <row r="32" spans="1:12" ht="18" x14ac:dyDescent="0.2">
      <c r="A32" s="41"/>
      <c r="B32" s="46"/>
      <c r="C32" s="47"/>
      <c r="D32" s="47"/>
      <c r="E32" s="47"/>
      <c r="F32" s="47"/>
      <c r="G32" s="47"/>
      <c r="H32" s="47"/>
      <c r="I32" s="47"/>
      <c r="J32" s="47"/>
      <c r="K32" s="47"/>
      <c r="L32" s="48"/>
    </row>
    <row r="33" spans="1:12" ht="18" x14ac:dyDescent="0.2">
      <c r="A33" s="41" t="s">
        <v>6</v>
      </c>
      <c r="B33" s="15">
        <f>B17/(1-B21)</f>
        <v>212.64367816091954</v>
      </c>
      <c r="C33" s="15"/>
      <c r="D33" s="15">
        <f>D17/(1-D21)</f>
        <v>252.80898876404493</v>
      </c>
      <c r="E33" s="15"/>
      <c r="F33" s="15">
        <f>F17/(1-F21)</f>
        <v>252.80898876404493</v>
      </c>
      <c r="G33" s="15"/>
      <c r="H33" s="15">
        <f>H17/(1-H21)</f>
        <v>186.20689655172413</v>
      </c>
      <c r="I33" s="15"/>
      <c r="J33" s="15">
        <f>J17/(1-J21)</f>
        <v>225.58139534883722</v>
      </c>
      <c r="K33" s="15"/>
      <c r="L33" s="15">
        <f>L17/(1-L21)</f>
        <v>225.58139534883722</v>
      </c>
    </row>
    <row r="34" spans="1:12" ht="18" x14ac:dyDescent="0.2">
      <c r="A34" s="41"/>
      <c r="B34" s="46"/>
      <c r="C34" s="47"/>
      <c r="D34" s="47"/>
      <c r="E34" s="47"/>
      <c r="F34" s="47"/>
      <c r="G34" s="47"/>
      <c r="H34" s="47"/>
      <c r="I34" s="47"/>
      <c r="J34" s="47"/>
      <c r="K34" s="47"/>
      <c r="L34" s="48"/>
    </row>
    <row r="35" spans="1:12" ht="18" x14ac:dyDescent="0.2">
      <c r="A35" s="41" t="s">
        <v>0</v>
      </c>
      <c r="B35" s="14">
        <f>B33-B17</f>
        <v>27.643678160919535</v>
      </c>
      <c r="C35" s="14"/>
      <c r="D35" s="14">
        <f t="shared" ref="D35:J35" si="0">D33-D17</f>
        <v>27.808988764044926</v>
      </c>
      <c r="E35" s="14"/>
      <c r="F35" s="14">
        <f t="shared" si="0"/>
        <v>27.808988764044926</v>
      </c>
      <c r="G35" s="14"/>
      <c r="H35" s="14">
        <f t="shared" si="0"/>
        <v>24.206896551724128</v>
      </c>
      <c r="I35" s="14"/>
      <c r="J35" s="14">
        <f t="shared" si="0"/>
        <v>31.581395348837219</v>
      </c>
      <c r="K35" s="14"/>
      <c r="L35" s="14">
        <f>L33-L17</f>
        <v>31.581395348837219</v>
      </c>
    </row>
    <row r="36" spans="1:12" ht="18" x14ac:dyDescent="0.2">
      <c r="A36" s="42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</row>
    <row r="37" spans="1:12" ht="18" x14ac:dyDescent="0.2">
      <c r="A37" s="41" t="s">
        <v>9</v>
      </c>
      <c r="B37" s="14">
        <f>(B17+B33)/2</f>
        <v>198.82183908045977</v>
      </c>
      <c r="C37" s="15"/>
      <c r="D37" s="15">
        <f>(D17+D33)/2</f>
        <v>238.90449438202245</v>
      </c>
      <c r="E37" s="15"/>
      <c r="F37" s="16">
        <f>(F17+F33)/2</f>
        <v>238.90449438202245</v>
      </c>
      <c r="G37" s="15"/>
      <c r="H37" s="16">
        <f>(H17+H33)/2</f>
        <v>174.10344827586206</v>
      </c>
      <c r="I37" s="17"/>
      <c r="J37" s="17">
        <f>(J17+J33)/2</f>
        <v>209.7906976744186</v>
      </c>
      <c r="K37" s="17"/>
      <c r="L37" s="17">
        <f>(L17+L33)/2</f>
        <v>209.7906976744186</v>
      </c>
    </row>
    <row r="38" spans="1:12" ht="18" x14ac:dyDescent="0.2">
      <c r="A38" s="43"/>
      <c r="B38" s="46"/>
      <c r="C38" s="47"/>
      <c r="D38" s="47"/>
      <c r="E38" s="47"/>
      <c r="F38" s="47"/>
      <c r="G38" s="47"/>
      <c r="H38" s="47"/>
      <c r="I38" s="47"/>
      <c r="J38" s="47"/>
      <c r="K38" s="47"/>
      <c r="L38" s="48"/>
    </row>
    <row r="39" spans="1:12" ht="18" x14ac:dyDescent="0.2">
      <c r="A39" s="41" t="s">
        <v>19</v>
      </c>
      <c r="B39" s="14">
        <f>B23*(B9*B9-B11*B11)</f>
        <v>50240</v>
      </c>
      <c r="C39" s="15"/>
      <c r="D39" s="15">
        <f>D23*(D9*D9-D11*D11)</f>
        <v>33362.5</v>
      </c>
      <c r="E39" s="15"/>
      <c r="F39" s="16">
        <f>F23*(F9*F9-F11*F11)</f>
        <v>62800</v>
      </c>
      <c r="G39" s="15"/>
      <c r="H39" s="16">
        <f>H23*(H9*H9-H11*H11)</f>
        <v>35168</v>
      </c>
      <c r="I39" s="17"/>
      <c r="J39" s="17">
        <f>J23*(J9*J9-J11*J11)</f>
        <v>58752.54</v>
      </c>
      <c r="K39" s="17"/>
      <c r="L39" s="17">
        <f>L23*(L9*L9-L11*L11)</f>
        <v>58752.54</v>
      </c>
    </row>
    <row r="40" spans="1:12" ht="18" x14ac:dyDescent="0.2">
      <c r="A40" s="41"/>
      <c r="B40" s="46"/>
      <c r="C40" s="47"/>
      <c r="D40" s="47"/>
      <c r="E40" s="47"/>
      <c r="F40" s="47"/>
      <c r="G40" s="47"/>
      <c r="H40" s="47"/>
      <c r="I40" s="47"/>
      <c r="J40" s="47"/>
      <c r="K40" s="47"/>
      <c r="L40" s="48"/>
    </row>
    <row r="41" spans="1:12" ht="18" x14ac:dyDescent="0.2">
      <c r="A41" s="41" t="s">
        <v>10</v>
      </c>
      <c r="B41" s="14">
        <f>B15*B39</f>
        <v>75360</v>
      </c>
      <c r="C41" s="15"/>
      <c r="D41" s="15">
        <f>D15*D39</f>
        <v>50043.75</v>
      </c>
      <c r="E41" s="15"/>
      <c r="F41" s="16">
        <f>F15*F39</f>
        <v>94200</v>
      </c>
      <c r="G41" s="15"/>
      <c r="H41" s="16">
        <f>H15*H39</f>
        <v>52752</v>
      </c>
      <c r="I41" s="17"/>
      <c r="J41" s="17">
        <f>J15*J39</f>
        <v>88128.81</v>
      </c>
      <c r="K41" s="17"/>
      <c r="L41" s="17">
        <f>L15*L39</f>
        <v>88128.81</v>
      </c>
    </row>
    <row r="42" spans="1:12" ht="18" x14ac:dyDescent="0.2">
      <c r="A42" s="41"/>
      <c r="B42" s="46"/>
      <c r="C42" s="47"/>
      <c r="D42" s="47"/>
      <c r="E42" s="47"/>
      <c r="F42" s="47"/>
      <c r="G42" s="47"/>
      <c r="H42" s="47"/>
      <c r="I42" s="47"/>
      <c r="J42" s="47"/>
      <c r="K42" s="47"/>
      <c r="L42" s="48"/>
    </row>
    <row r="43" spans="1:12" ht="18" x14ac:dyDescent="0.2">
      <c r="A43" s="41" t="s">
        <v>5</v>
      </c>
      <c r="B43" s="14">
        <f>B41/1.2</f>
        <v>62800</v>
      </c>
      <c r="C43" s="15"/>
      <c r="D43" s="15">
        <f t="shared" ref="D43:J43" si="1">D41/1.2</f>
        <v>41703.125</v>
      </c>
      <c r="E43" s="15"/>
      <c r="F43" s="16">
        <f t="shared" si="1"/>
        <v>78500</v>
      </c>
      <c r="G43" s="15"/>
      <c r="H43" s="16">
        <f t="shared" si="1"/>
        <v>43960</v>
      </c>
      <c r="I43" s="17"/>
      <c r="J43" s="17">
        <f t="shared" si="1"/>
        <v>73440.675000000003</v>
      </c>
      <c r="K43" s="17"/>
      <c r="L43" s="17">
        <f>L41/1.2</f>
        <v>73440.675000000003</v>
      </c>
    </row>
    <row r="44" spans="1:12" ht="18" x14ac:dyDescent="0.2">
      <c r="A44" s="41"/>
      <c r="B44" s="46"/>
      <c r="C44" s="47"/>
      <c r="D44" s="47"/>
      <c r="E44" s="47"/>
      <c r="F44" s="47"/>
      <c r="G44" s="47"/>
      <c r="H44" s="47"/>
      <c r="I44" s="47"/>
      <c r="J44" s="47"/>
      <c r="K44" s="47"/>
      <c r="L44" s="48"/>
    </row>
    <row r="45" spans="1:12" ht="18" x14ac:dyDescent="0.2">
      <c r="A45" s="41" t="s">
        <v>4</v>
      </c>
      <c r="B45" s="14">
        <f>0.2*B43</f>
        <v>12560</v>
      </c>
      <c r="C45" s="15"/>
      <c r="D45" s="15">
        <f t="shared" ref="D45:J45" si="2">0.2*D43</f>
        <v>8340.625</v>
      </c>
      <c r="E45" s="15"/>
      <c r="F45" s="16">
        <f t="shared" si="2"/>
        <v>15700</v>
      </c>
      <c r="G45" s="15"/>
      <c r="H45" s="16">
        <f t="shared" si="2"/>
        <v>8792</v>
      </c>
      <c r="I45" s="17"/>
      <c r="J45" s="17">
        <f t="shared" si="2"/>
        <v>14688.135000000002</v>
      </c>
      <c r="K45" s="17"/>
      <c r="L45" s="17">
        <f>0.2*L43</f>
        <v>14688.135000000002</v>
      </c>
    </row>
    <row r="46" spans="1:12" ht="18" x14ac:dyDescent="0.2">
      <c r="A46" s="41"/>
      <c r="B46" s="46"/>
      <c r="C46" s="47"/>
      <c r="D46" s="47"/>
      <c r="E46" s="47"/>
      <c r="F46" s="47"/>
      <c r="G46" s="47"/>
      <c r="H46" s="47"/>
      <c r="I46" s="47"/>
      <c r="J46" s="47"/>
      <c r="K46" s="47"/>
      <c r="L46" s="48"/>
    </row>
    <row r="47" spans="1:12" ht="18" x14ac:dyDescent="0.2">
      <c r="A47" s="60" t="s">
        <v>25</v>
      </c>
      <c r="B47" s="14">
        <f>1000*B31/(B43*B13*B37)</f>
        <v>1.5796754762659599</v>
      </c>
      <c r="C47" s="15"/>
      <c r="D47" s="15">
        <f>1000*D31/(D43*D13*D37)</f>
        <v>1.6907680992806511</v>
      </c>
      <c r="E47" s="15"/>
      <c r="F47" s="16">
        <f>1000*F31/(F43*F13*F37)</f>
        <v>1.9380477979204098</v>
      </c>
      <c r="G47" s="15"/>
      <c r="H47" s="16">
        <f>1000*H31/(H43*H13*H37)</f>
        <v>4.8755415934134554</v>
      </c>
      <c r="I47" s="17"/>
      <c r="J47" s="17">
        <f>1000*J31/(J43*J13*J37)</f>
        <v>5.24179012165642</v>
      </c>
      <c r="K47" s="17"/>
      <c r="L47" s="17">
        <f>1000*L31/(L43*L13*L37)</f>
        <v>5.24179012165642</v>
      </c>
    </row>
    <row r="48" spans="1:12" ht="18" x14ac:dyDescent="0.2">
      <c r="A48" s="61"/>
      <c r="B48" s="30">
        <v>2</v>
      </c>
      <c r="C48" s="31"/>
      <c r="D48" s="31">
        <v>2</v>
      </c>
      <c r="E48" s="31"/>
      <c r="F48" s="32">
        <v>2</v>
      </c>
      <c r="G48" s="31"/>
      <c r="H48" s="32">
        <v>6</v>
      </c>
      <c r="I48" s="33"/>
      <c r="J48" s="33">
        <v>6</v>
      </c>
      <c r="K48" s="33"/>
      <c r="L48" s="33">
        <v>8</v>
      </c>
    </row>
    <row r="49" spans="1:12" ht="18.75" thickBot="1" x14ac:dyDescent="0.25">
      <c r="A49" s="44" t="s">
        <v>24</v>
      </c>
      <c r="B49" s="34">
        <f>B43/(2*B23*B37*B35*(1-B19))</f>
        <v>2.2743122902105419</v>
      </c>
      <c r="C49" s="35"/>
      <c r="D49" s="35">
        <f>D43/(2*D23*D37*D35*(1-D19))</f>
        <v>1.2494228736512694</v>
      </c>
      <c r="E49" s="35"/>
      <c r="F49" s="36">
        <f>F43/(2*F23*F37*F35*(1-F19))</f>
        <v>2.3518548209906247</v>
      </c>
      <c r="G49" s="35"/>
      <c r="H49" s="36">
        <f>H43/(2*H23*H37*H35*(1-H19))</f>
        <v>2.0761635685382971</v>
      </c>
      <c r="I49" s="37"/>
      <c r="J49" s="37">
        <f>J43/(2*J23*J37*J35*(1-J19))</f>
        <v>2.2063250075425374</v>
      </c>
      <c r="K49" s="37"/>
      <c r="L49" s="37">
        <f>L43/(2*L23*L37*L35*(1-L19))</f>
        <v>2.2063250075425374</v>
      </c>
    </row>
  </sheetData>
  <mergeCells count="22">
    <mergeCell ref="A4:J4"/>
    <mergeCell ref="A47:A48"/>
    <mergeCell ref="B8:L8"/>
    <mergeCell ref="B10:L10"/>
    <mergeCell ref="B12:L12"/>
    <mergeCell ref="B14:L14"/>
    <mergeCell ref="B16:L16"/>
    <mergeCell ref="B18:L18"/>
    <mergeCell ref="B20:L20"/>
    <mergeCell ref="B22:L22"/>
    <mergeCell ref="B24:L24"/>
    <mergeCell ref="B26:L26"/>
    <mergeCell ref="B30:L30"/>
    <mergeCell ref="B32:L32"/>
    <mergeCell ref="B28:L28"/>
    <mergeCell ref="B34:L34"/>
    <mergeCell ref="B36:L36"/>
    <mergeCell ref="B38:L38"/>
    <mergeCell ref="B40:L40"/>
    <mergeCell ref="B42:L42"/>
    <mergeCell ref="B44:L44"/>
    <mergeCell ref="B46:L46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q</vt:lpstr>
    </vt:vector>
  </TitlesOfParts>
  <Company>CM9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 Windows</cp:lastModifiedBy>
  <dcterms:created xsi:type="dcterms:W3CDTF">2011-04-01T07:05:27Z</dcterms:created>
  <dcterms:modified xsi:type="dcterms:W3CDTF">2022-08-13T12:32:12Z</dcterms:modified>
</cp:coreProperties>
</file>