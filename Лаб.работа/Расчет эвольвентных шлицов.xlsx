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MSTU Projects\ПКП\Лаб.работа\"/>
    </mc:Choice>
  </mc:AlternateContent>
  <xr:revisionPtr revIDLastSave="0" documentId="13_ncr:1_{6EBEE6FD-51D0-43E9-882D-0CC50206328C}" xr6:coauthVersionLast="47" xr6:coauthVersionMax="47" xr10:uidLastSave="{00000000-0000-0000-0000-000000000000}"/>
  <bookViews>
    <workbookView minimized="1" xWindow="-20085" yWindow="1800" windowWidth="19245" windowHeight="13500" xr2:uid="{00000000-000D-0000-FFFF-FFFF00000000}"/>
  </bookViews>
  <sheets>
    <sheet name="Расчет эвольвентных шлицов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" i="2" l="1"/>
  <c r="H28" i="2"/>
  <c r="H29" i="2"/>
  <c r="H30" i="2"/>
  <c r="H31" i="2"/>
  <c r="H32" i="2"/>
  <c r="H33" i="2"/>
  <c r="H34" i="2"/>
  <c r="H27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20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14" i="2"/>
  <c r="E11" i="2"/>
  <c r="E12" i="2"/>
  <c r="E13" i="2"/>
  <c r="E14" i="2"/>
  <c r="E15" i="2"/>
  <c r="E16" i="2"/>
  <c r="E17" i="2"/>
  <c r="E18" i="2"/>
  <c r="E19" i="2"/>
  <c r="E10" i="2"/>
  <c r="D7" i="2"/>
  <c r="D8" i="2"/>
  <c r="D9" i="2"/>
  <c r="D10" i="2"/>
  <c r="D11" i="2"/>
  <c r="D12" i="2"/>
  <c r="D13" i="2"/>
  <c r="D6" i="2"/>
  <c r="C6" i="2"/>
  <c r="C7" i="2"/>
  <c r="C8" i="2"/>
  <c r="C9" i="2"/>
  <c r="C5" i="2"/>
  <c r="M5" i="2"/>
  <c r="M6" i="2"/>
  <c r="M7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</calcChain>
</file>

<file path=xl/sharedStrings.xml><?xml version="1.0" encoding="utf-8"?>
<sst xmlns="http://schemas.openxmlformats.org/spreadsheetml/2006/main" count="8" uniqueCount="8">
  <si>
    <t>HRC</t>
  </si>
  <si>
    <t>SIGMA</t>
  </si>
  <si>
    <t>m</t>
  </si>
  <si>
    <r>
      <t>S</t>
    </r>
    <r>
      <rPr>
        <b/>
        <i/>
        <vertAlign val="subscript"/>
        <sz val="18"/>
        <rFont val="Times New Roman"/>
        <family val="1"/>
        <charset val="204"/>
      </rPr>
      <t>F</t>
    </r>
    <r>
      <rPr>
        <sz val="18"/>
        <rFont val="Times New Roman"/>
        <family val="1"/>
        <charset val="204"/>
      </rPr>
      <t>, мм3/м</t>
    </r>
  </si>
  <si>
    <t>L, мм</t>
  </si>
  <si>
    <t>D, мм</t>
  </si>
  <si>
    <t>Kм</t>
  </si>
  <si>
    <t>Max момент двигателя, Нм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</si>
</sst>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 Cyr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8"/>
      <name val="Times New Roman"/>
      <family val="1"/>
      <charset val="204"/>
    </font>
    <font>
      <b/>
      <i/>
      <sz val="18"/>
      <name val="Arial Cyr"/>
      <charset val="204"/>
    </font>
    <font>
      <b/>
      <sz val="18"/>
      <name val="Arial Cyr"/>
      <charset val="204"/>
    </font>
    <font>
      <b/>
      <i/>
      <vertAlign val="subscript"/>
      <sz val="18"/>
      <name val="Times New Roman"/>
      <family val="1"/>
      <charset val="204"/>
    </font>
    <font>
      <sz val="18"/>
      <name val="Times New Roman"/>
      <family val="1"/>
      <charset val="204"/>
    </font>
    <font>
      <b/>
      <sz val="18"/>
      <color indexed="10"/>
      <name val="Arial Cyr"/>
      <charset val="204"/>
    </font>
    <font>
      <b/>
      <sz val="10"/>
      <color indexed="12"/>
      <name val="Arial Cyr"/>
      <charset val="204"/>
    </font>
    <font>
      <sz val="20"/>
      <color rgb="FF00B050"/>
      <name val="Arial Cyr"/>
      <charset val="204"/>
    </font>
    <font>
      <b/>
      <sz val="24"/>
      <color rgb="FFFF0000"/>
      <name val="Arial Cyr"/>
      <charset val="204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 wrapText="1"/>
    </xf>
    <xf numFmtId="2" fontId="10" fillId="0" borderId="10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2" fontId="10" fillId="0" borderId="12" xfId="0" applyNumberFormat="1" applyFont="1" applyBorder="1" applyAlignment="1">
      <alignment horizontal="center" vertical="center"/>
    </xf>
    <xf numFmtId="0" fontId="0" fillId="0" borderId="3" xfId="0" applyBorder="1"/>
    <xf numFmtId="2" fontId="0" fillId="0" borderId="13" xfId="0" applyNumberFormat="1" applyBorder="1" applyAlignment="1">
      <alignment horizontal="center" vertical="center"/>
    </xf>
    <xf numFmtId="2" fontId="0" fillId="0" borderId="7" xfId="0" applyNumberFormat="1" applyBorder="1"/>
    <xf numFmtId="0" fontId="12" fillId="0" borderId="23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2" fontId="9" fillId="0" borderId="14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4" fillId="0" borderId="16" xfId="0" applyNumberFormat="1" applyFont="1" applyBorder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/>
    </xf>
    <xf numFmtId="2" fontId="5" fillId="0" borderId="18" xfId="0" applyNumberFormat="1" applyFont="1" applyBorder="1" applyAlignment="1">
      <alignment horizontal="center" vertical="center"/>
    </xf>
    <xf numFmtId="2" fontId="6" fillId="0" borderId="19" xfId="0" applyNumberFormat="1" applyFont="1" applyBorder="1" applyAlignment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4"/>
  <sheetViews>
    <sheetView tabSelected="1" zoomScale="70" zoomScaleNormal="70" workbookViewId="0">
      <selection activeCell="M20" sqref="M20"/>
    </sheetView>
  </sheetViews>
  <sheetFormatPr defaultRowHeight="12.75" x14ac:dyDescent="0.2"/>
  <cols>
    <col min="1" max="1" width="8.42578125" customWidth="1"/>
    <col min="2" max="2" width="13.42578125" customWidth="1"/>
    <col min="3" max="3" width="10" customWidth="1"/>
    <col min="4" max="4" width="8.42578125" customWidth="1"/>
    <col min="5" max="6" width="9.28515625" bestFit="1" customWidth="1"/>
    <col min="7" max="7" width="9.28515625" customWidth="1"/>
    <col min="8" max="8" width="9.28515625" bestFit="1" customWidth="1"/>
    <col min="9" max="9" width="17.42578125" customWidth="1"/>
    <col min="10" max="10" width="12.28515625" style="6" customWidth="1"/>
    <col min="11" max="11" width="9.140625" style="6"/>
    <col min="12" max="12" width="14.42578125" style="6" customWidth="1"/>
    <col min="13" max="13" width="13.85546875" style="6" customWidth="1"/>
  </cols>
  <sheetData>
    <row r="2" spans="2:16" ht="30.75" thickBot="1" x14ac:dyDescent="0.45">
      <c r="B2" s="21" t="s">
        <v>7</v>
      </c>
      <c r="C2" s="21"/>
      <c r="D2" s="21"/>
      <c r="E2" s="21"/>
      <c r="F2" s="21"/>
      <c r="G2" s="21"/>
      <c r="H2" s="21"/>
      <c r="I2" s="20">
        <v>750</v>
      </c>
      <c r="J2" s="20"/>
    </row>
    <row r="3" spans="2:16" ht="18.75" customHeight="1" thickBot="1" x14ac:dyDescent="0.25">
      <c r="B3" s="26" t="s">
        <v>5</v>
      </c>
      <c r="C3" s="28" t="s">
        <v>2</v>
      </c>
      <c r="D3" s="29"/>
      <c r="E3" s="29"/>
      <c r="F3" s="29"/>
      <c r="G3" s="29"/>
      <c r="H3" s="30"/>
      <c r="I3" s="31" t="s">
        <v>3</v>
      </c>
      <c r="J3" s="22" t="s">
        <v>6</v>
      </c>
      <c r="K3" s="22" t="s">
        <v>0</v>
      </c>
      <c r="L3" s="22" t="s">
        <v>1</v>
      </c>
      <c r="M3" s="24" t="s">
        <v>4</v>
      </c>
    </row>
    <row r="4" spans="2:16" ht="19.5" customHeight="1" thickBot="1" x14ac:dyDescent="0.3">
      <c r="B4" s="27"/>
      <c r="C4" s="1">
        <v>0.8</v>
      </c>
      <c r="D4" s="2">
        <v>1.25</v>
      </c>
      <c r="E4" s="2">
        <v>2</v>
      </c>
      <c r="F4" s="2">
        <v>3</v>
      </c>
      <c r="G4" s="2">
        <v>5</v>
      </c>
      <c r="H4" s="5">
        <v>8</v>
      </c>
      <c r="I4" s="32"/>
      <c r="J4" s="23"/>
      <c r="K4" s="23"/>
      <c r="L4" s="23"/>
      <c r="M4" s="25"/>
    </row>
    <row r="5" spans="2:16" ht="16.5" thickBot="1" x14ac:dyDescent="0.25">
      <c r="B5" s="8">
        <v>15</v>
      </c>
      <c r="C5" s="9">
        <f>$B5-C$4*2</f>
        <v>13.4</v>
      </c>
      <c r="D5" s="19"/>
      <c r="E5" s="19"/>
      <c r="F5" s="19"/>
      <c r="G5" s="19"/>
      <c r="H5" s="19"/>
      <c r="I5" s="9">
        <v>87</v>
      </c>
      <c r="J5" s="3">
        <v>1</v>
      </c>
      <c r="K5" s="10">
        <v>50</v>
      </c>
      <c r="L5" s="10">
        <v>60</v>
      </c>
      <c r="M5" s="11">
        <f>1000*I2*J5/(I5*L5)</f>
        <v>143.67816091954023</v>
      </c>
    </row>
    <row r="6" spans="2:16" ht="16.5" thickBot="1" x14ac:dyDescent="0.25">
      <c r="B6" s="12">
        <v>17</v>
      </c>
      <c r="C6" s="7">
        <f t="shared" ref="C6:G21" si="0">$B6-C$4*2</f>
        <v>15.4</v>
      </c>
      <c r="D6" s="7">
        <f>$B6-D$4*2</f>
        <v>14.5</v>
      </c>
      <c r="E6" s="7"/>
      <c r="F6" s="7"/>
      <c r="G6" s="7"/>
      <c r="H6" s="7"/>
      <c r="I6" s="7">
        <v>111</v>
      </c>
      <c r="J6" s="3">
        <v>1</v>
      </c>
      <c r="K6" s="10">
        <v>50</v>
      </c>
      <c r="L6" s="10">
        <v>60</v>
      </c>
      <c r="M6" s="13">
        <f>1000*I2*J6/(I6*L6)</f>
        <v>112.61261261261261</v>
      </c>
    </row>
    <row r="7" spans="2:16" ht="16.5" thickBot="1" x14ac:dyDescent="0.25">
      <c r="B7" s="12">
        <v>20</v>
      </c>
      <c r="C7" s="7">
        <f t="shared" si="0"/>
        <v>18.399999999999999</v>
      </c>
      <c r="D7" s="7">
        <f t="shared" si="0"/>
        <v>17.5</v>
      </c>
      <c r="E7" s="7"/>
      <c r="F7" s="7"/>
      <c r="G7" s="7"/>
      <c r="H7" s="7"/>
      <c r="I7" s="7">
        <v>153</v>
      </c>
      <c r="J7" s="3">
        <v>1</v>
      </c>
      <c r="K7" s="10">
        <v>50</v>
      </c>
      <c r="L7" s="10">
        <v>60</v>
      </c>
      <c r="M7" s="13">
        <f>1000*I2*J7/(I7*L7)</f>
        <v>81.699346405228752</v>
      </c>
    </row>
    <row r="8" spans="2:16" ht="16.5" thickBot="1" x14ac:dyDescent="0.25">
      <c r="B8" s="12">
        <v>25</v>
      </c>
      <c r="C8" s="7">
        <f t="shared" si="0"/>
        <v>23.4</v>
      </c>
      <c r="D8" s="7">
        <f t="shared" si="0"/>
        <v>22.5</v>
      </c>
      <c r="E8" s="7"/>
      <c r="F8" s="7"/>
      <c r="G8" s="7"/>
      <c r="H8" s="7"/>
      <c r="I8" s="7">
        <v>251</v>
      </c>
      <c r="J8" s="3">
        <v>1</v>
      </c>
      <c r="K8" s="10">
        <v>50</v>
      </c>
      <c r="L8" s="10">
        <v>60</v>
      </c>
      <c r="M8" s="13">
        <f>1000*I2*J8/(I8*L8)</f>
        <v>49.800796812749006</v>
      </c>
    </row>
    <row r="9" spans="2:16" ht="16.5" thickBot="1" x14ac:dyDescent="0.25">
      <c r="B9" s="12">
        <v>30</v>
      </c>
      <c r="C9" s="7">
        <f t="shared" si="0"/>
        <v>28.4</v>
      </c>
      <c r="D9" s="7">
        <f t="shared" si="0"/>
        <v>27.5</v>
      </c>
      <c r="E9" s="7"/>
      <c r="F9" s="7"/>
      <c r="G9" s="7"/>
      <c r="H9" s="7"/>
      <c r="I9" s="7">
        <v>367</v>
      </c>
      <c r="J9" s="3">
        <v>1</v>
      </c>
      <c r="K9" s="10">
        <v>50</v>
      </c>
      <c r="L9" s="10">
        <v>60</v>
      </c>
      <c r="M9" s="13">
        <f>1000*I2*J9/(I9*L9)</f>
        <v>34.059945504087196</v>
      </c>
    </row>
    <row r="10" spans="2:16" ht="16.5" thickBot="1" x14ac:dyDescent="0.25">
      <c r="B10" s="12">
        <v>35</v>
      </c>
      <c r="C10" s="7"/>
      <c r="D10" s="7">
        <f t="shared" si="0"/>
        <v>32.5</v>
      </c>
      <c r="E10" s="7">
        <f t="shared" si="0"/>
        <v>31</v>
      </c>
      <c r="F10" s="7"/>
      <c r="G10" s="7"/>
      <c r="H10" s="7"/>
      <c r="I10" s="7">
        <v>484</v>
      </c>
      <c r="J10" s="3">
        <v>1</v>
      </c>
      <c r="K10" s="10">
        <v>50</v>
      </c>
      <c r="L10" s="10">
        <v>60</v>
      </c>
      <c r="M10" s="13">
        <f>1000*I2*J10/(I10*L10)</f>
        <v>25.826446280991735</v>
      </c>
    </row>
    <row r="11" spans="2:16" ht="16.5" thickBot="1" x14ac:dyDescent="0.25">
      <c r="B11" s="12">
        <v>40</v>
      </c>
      <c r="C11" s="7"/>
      <c r="D11" s="7">
        <f t="shared" si="0"/>
        <v>37.5</v>
      </c>
      <c r="E11" s="7">
        <f t="shared" si="0"/>
        <v>36</v>
      </c>
      <c r="F11" s="7"/>
      <c r="G11" s="7"/>
      <c r="H11" s="7"/>
      <c r="I11" s="7">
        <v>635</v>
      </c>
      <c r="J11" s="3">
        <v>1.38</v>
      </c>
      <c r="K11" s="10">
        <v>50</v>
      </c>
      <c r="L11" s="10">
        <v>60</v>
      </c>
      <c r="M11" s="13">
        <f>1000*I2*J11/(I11*L11)</f>
        <v>27.165354330708659</v>
      </c>
    </row>
    <row r="12" spans="2:16" ht="16.5" thickBot="1" x14ac:dyDescent="0.25">
      <c r="B12" s="12">
        <v>45</v>
      </c>
      <c r="C12" s="7"/>
      <c r="D12" s="7">
        <f t="shared" si="0"/>
        <v>42.5</v>
      </c>
      <c r="E12" s="7">
        <f t="shared" si="0"/>
        <v>41</v>
      </c>
      <c r="F12" s="7"/>
      <c r="G12" s="7"/>
      <c r="H12" s="7"/>
      <c r="I12" s="7">
        <v>825</v>
      </c>
      <c r="J12" s="3">
        <v>1</v>
      </c>
      <c r="K12" s="10">
        <v>50</v>
      </c>
      <c r="L12" s="10">
        <v>60</v>
      </c>
      <c r="M12" s="13">
        <f>1000*I2*J12/(I12*L12)</f>
        <v>15.151515151515152</v>
      </c>
    </row>
    <row r="13" spans="2:16" ht="16.5" thickBot="1" x14ac:dyDescent="0.25">
      <c r="B13" s="12">
        <v>50</v>
      </c>
      <c r="C13" s="7"/>
      <c r="D13" s="7">
        <f t="shared" si="0"/>
        <v>47.5</v>
      </c>
      <c r="E13" s="7">
        <f t="shared" si="0"/>
        <v>46</v>
      </c>
      <c r="F13" s="7"/>
      <c r="G13" s="7"/>
      <c r="H13" s="7"/>
      <c r="I13" s="7">
        <v>1039</v>
      </c>
      <c r="J13" s="3">
        <v>1</v>
      </c>
      <c r="K13" s="10">
        <v>50</v>
      </c>
      <c r="L13" s="10">
        <v>60</v>
      </c>
      <c r="M13" s="13">
        <f>1000*I2*J13/(I13*L13)</f>
        <v>12.030798845043311</v>
      </c>
    </row>
    <row r="14" spans="2:16" ht="16.5" thickBot="1" x14ac:dyDescent="0.25">
      <c r="B14" s="12">
        <v>55</v>
      </c>
      <c r="C14" s="7"/>
      <c r="D14" s="7"/>
      <c r="E14" s="7">
        <f t="shared" si="0"/>
        <v>51</v>
      </c>
      <c r="F14" s="7">
        <f t="shared" si="0"/>
        <v>49</v>
      </c>
      <c r="G14" s="7"/>
      <c r="H14" s="7"/>
      <c r="I14" s="7">
        <v>1217</v>
      </c>
      <c r="J14" s="3">
        <v>0.56000000000000005</v>
      </c>
      <c r="K14" s="10">
        <v>50</v>
      </c>
      <c r="L14" s="10">
        <v>60</v>
      </c>
      <c r="M14" s="13">
        <f>1000*I2*J14/(I14*L14)</f>
        <v>5.7518488085456045</v>
      </c>
      <c r="P14" s="17"/>
    </row>
    <row r="15" spans="2:16" ht="16.5" thickBot="1" x14ac:dyDescent="0.25">
      <c r="B15" s="12">
        <v>60</v>
      </c>
      <c r="C15" s="7"/>
      <c r="D15" s="7"/>
      <c r="E15" s="7">
        <f t="shared" si="0"/>
        <v>56</v>
      </c>
      <c r="F15" s="7">
        <f t="shared" si="0"/>
        <v>54</v>
      </c>
      <c r="G15" s="7"/>
      <c r="H15" s="7"/>
      <c r="I15" s="7">
        <v>1423</v>
      </c>
      <c r="J15" s="3">
        <v>1</v>
      </c>
      <c r="K15" s="10">
        <v>50</v>
      </c>
      <c r="L15" s="10">
        <v>60</v>
      </c>
      <c r="M15" s="13">
        <f>1000*I2*J15/(I15*L15)</f>
        <v>8.7842586085734364</v>
      </c>
    </row>
    <row r="16" spans="2:16" ht="16.5" thickBot="1" x14ac:dyDescent="0.25">
      <c r="B16" s="12">
        <v>65</v>
      </c>
      <c r="C16" s="7"/>
      <c r="D16" s="7"/>
      <c r="E16" s="7">
        <f t="shared" si="0"/>
        <v>61</v>
      </c>
      <c r="F16" s="7">
        <f t="shared" si="0"/>
        <v>59</v>
      </c>
      <c r="G16" s="7"/>
      <c r="H16" s="7"/>
      <c r="I16" s="7">
        <v>1716</v>
      </c>
      <c r="J16" s="3">
        <v>0.38</v>
      </c>
      <c r="K16" s="10">
        <v>50</v>
      </c>
      <c r="L16" s="10">
        <v>60</v>
      </c>
      <c r="M16" s="13">
        <f>1000*I2*J16/(I16*L16)</f>
        <v>2.7680652680652682</v>
      </c>
    </row>
    <row r="17" spans="2:13" ht="16.5" thickBot="1" x14ac:dyDescent="0.25">
      <c r="B17" s="12">
        <v>70</v>
      </c>
      <c r="C17" s="7"/>
      <c r="D17" s="7"/>
      <c r="E17" s="7">
        <f t="shared" si="0"/>
        <v>66</v>
      </c>
      <c r="F17" s="7">
        <f t="shared" si="0"/>
        <v>64</v>
      </c>
      <c r="G17" s="7"/>
      <c r="H17" s="7"/>
      <c r="I17" s="7">
        <v>2035</v>
      </c>
      <c r="J17" s="3">
        <v>1</v>
      </c>
      <c r="K17" s="10">
        <v>50</v>
      </c>
      <c r="L17" s="10">
        <v>60</v>
      </c>
      <c r="M17" s="13">
        <f>1000*I2*J17/(I17*L17)</f>
        <v>6.1425061425061429</v>
      </c>
    </row>
    <row r="18" spans="2:13" ht="16.5" thickBot="1" x14ac:dyDescent="0.25">
      <c r="B18" s="12">
        <v>75</v>
      </c>
      <c r="C18" s="7"/>
      <c r="D18" s="7"/>
      <c r="E18" s="7">
        <f t="shared" si="0"/>
        <v>71</v>
      </c>
      <c r="F18" s="7">
        <f t="shared" si="0"/>
        <v>69</v>
      </c>
      <c r="G18" s="7"/>
      <c r="H18" s="7"/>
      <c r="I18" s="7">
        <v>2349</v>
      </c>
      <c r="J18" s="3">
        <v>1</v>
      </c>
      <c r="K18" s="10">
        <v>50</v>
      </c>
      <c r="L18" s="10">
        <v>60</v>
      </c>
      <c r="M18" s="13">
        <f>1000*I2*J18/(I18*L18)</f>
        <v>5.3214133673903792</v>
      </c>
    </row>
    <row r="19" spans="2:13" ht="16.5" thickBot="1" x14ac:dyDescent="0.25">
      <c r="B19" s="12">
        <v>80</v>
      </c>
      <c r="C19" s="7"/>
      <c r="D19" s="7"/>
      <c r="E19" s="7">
        <f t="shared" si="0"/>
        <v>76</v>
      </c>
      <c r="F19" s="7">
        <f t="shared" si="0"/>
        <v>74</v>
      </c>
      <c r="G19" s="7"/>
      <c r="H19" s="7"/>
      <c r="I19" s="7">
        <v>2633</v>
      </c>
      <c r="J19" s="3">
        <v>1</v>
      </c>
      <c r="K19" s="10">
        <v>50</v>
      </c>
      <c r="L19" s="10">
        <v>60</v>
      </c>
      <c r="M19" s="13">
        <f>1000*I2*J19/(I19*L19)</f>
        <v>4.7474363843524499</v>
      </c>
    </row>
    <row r="20" spans="2:13" ht="16.5" thickBot="1" x14ac:dyDescent="0.25">
      <c r="B20" s="12">
        <v>85</v>
      </c>
      <c r="C20" s="7"/>
      <c r="D20" s="7"/>
      <c r="E20" s="7"/>
      <c r="F20" s="7">
        <f t="shared" si="0"/>
        <v>79</v>
      </c>
      <c r="G20" s="7">
        <f t="shared" si="0"/>
        <v>75</v>
      </c>
      <c r="H20" s="7"/>
      <c r="I20" s="7">
        <v>2844</v>
      </c>
      <c r="J20" s="3">
        <v>7.83</v>
      </c>
      <c r="K20" s="10">
        <v>50</v>
      </c>
      <c r="L20" s="10">
        <v>60</v>
      </c>
      <c r="M20" s="13">
        <f>1000*I2*J20/(I20*L20)</f>
        <v>34.414556962025316</v>
      </c>
    </row>
    <row r="21" spans="2:13" ht="16.5" thickBot="1" x14ac:dyDescent="0.25">
      <c r="B21" s="12">
        <v>90</v>
      </c>
      <c r="C21" s="7"/>
      <c r="D21" s="7"/>
      <c r="E21" s="7"/>
      <c r="F21" s="7">
        <f t="shared" si="0"/>
        <v>84</v>
      </c>
      <c r="G21" s="7">
        <f t="shared" si="0"/>
        <v>80</v>
      </c>
      <c r="H21" s="7"/>
      <c r="I21" s="7">
        <v>3174</v>
      </c>
      <c r="J21" s="3">
        <v>1</v>
      </c>
      <c r="K21" s="10">
        <v>50</v>
      </c>
      <c r="L21" s="10">
        <v>60</v>
      </c>
      <c r="M21" s="13">
        <f>1000*I2*J21/(I21*L21)</f>
        <v>3.9382482671707626</v>
      </c>
    </row>
    <row r="22" spans="2:13" ht="16.5" thickBot="1" x14ac:dyDescent="0.25">
      <c r="B22" s="12">
        <v>95</v>
      </c>
      <c r="C22" s="7"/>
      <c r="D22" s="7"/>
      <c r="E22" s="7"/>
      <c r="F22" s="7">
        <f t="shared" ref="F22:H34" si="1">$B22-F$4*2</f>
        <v>89</v>
      </c>
      <c r="G22" s="7">
        <f t="shared" si="1"/>
        <v>85</v>
      </c>
      <c r="H22" s="7"/>
      <c r="I22" s="7">
        <v>3685</v>
      </c>
      <c r="J22" s="3">
        <v>1</v>
      </c>
      <c r="K22" s="10">
        <v>50</v>
      </c>
      <c r="L22" s="10">
        <v>60</v>
      </c>
      <c r="M22" s="13">
        <f>1000*I2*J22/(I22*L22)</f>
        <v>3.3921302578018997</v>
      </c>
    </row>
    <row r="23" spans="2:13" ht="16.5" thickBot="1" x14ac:dyDescent="0.25">
      <c r="B23" s="12">
        <v>100</v>
      </c>
      <c r="C23" s="7"/>
      <c r="D23" s="7"/>
      <c r="E23" s="7"/>
      <c r="F23" s="7">
        <f t="shared" si="1"/>
        <v>94</v>
      </c>
      <c r="G23" s="7">
        <f t="shared" si="1"/>
        <v>90</v>
      </c>
      <c r="H23" s="7"/>
      <c r="I23" s="7">
        <v>4019</v>
      </c>
      <c r="J23" s="3">
        <v>1</v>
      </c>
      <c r="K23" s="10">
        <v>50</v>
      </c>
      <c r="L23" s="10">
        <v>60</v>
      </c>
      <c r="M23" s="13">
        <f>1000*I2*J23/(I23*L23)</f>
        <v>3.1102264244837023</v>
      </c>
    </row>
    <row r="24" spans="2:13" ht="16.5" thickBot="1" x14ac:dyDescent="0.25">
      <c r="B24" s="12">
        <v>110</v>
      </c>
      <c r="C24" s="7"/>
      <c r="D24" s="7"/>
      <c r="E24" s="7"/>
      <c r="F24" s="7">
        <f t="shared" si="1"/>
        <v>104</v>
      </c>
      <c r="G24" s="7">
        <f t="shared" si="1"/>
        <v>100</v>
      </c>
      <c r="H24" s="7"/>
      <c r="I24" s="7">
        <v>4890</v>
      </c>
      <c r="J24" s="3">
        <v>1</v>
      </c>
      <c r="K24" s="10">
        <v>50</v>
      </c>
      <c r="L24" s="10">
        <v>60</v>
      </c>
      <c r="M24" s="13">
        <f>1000*I2*J24/(I24*L24)</f>
        <v>2.556237218813906</v>
      </c>
    </row>
    <row r="25" spans="2:13" ht="16.5" thickBot="1" x14ac:dyDescent="0.25">
      <c r="B25" s="12">
        <v>120</v>
      </c>
      <c r="C25" s="7"/>
      <c r="D25" s="7"/>
      <c r="E25" s="7"/>
      <c r="F25" s="7">
        <f t="shared" si="1"/>
        <v>114</v>
      </c>
      <c r="G25" s="7">
        <f t="shared" si="1"/>
        <v>110</v>
      </c>
      <c r="H25" s="7"/>
      <c r="I25" s="7">
        <v>5847</v>
      </c>
      <c r="J25" s="3">
        <v>1</v>
      </c>
      <c r="K25" s="10">
        <v>50</v>
      </c>
      <c r="L25" s="10">
        <v>60</v>
      </c>
      <c r="M25" s="13">
        <f>1000*I2*J25/(I25*L25)</f>
        <v>2.1378484693004958</v>
      </c>
    </row>
    <row r="26" spans="2:13" ht="16.5" thickBot="1" x14ac:dyDescent="0.25">
      <c r="B26" s="12">
        <v>140</v>
      </c>
      <c r="C26" s="7"/>
      <c r="D26" s="7"/>
      <c r="E26" s="7"/>
      <c r="F26" s="7">
        <f t="shared" si="1"/>
        <v>134</v>
      </c>
      <c r="G26" s="7">
        <f t="shared" si="1"/>
        <v>130</v>
      </c>
      <c r="H26" s="7"/>
      <c r="I26" s="7">
        <v>8110</v>
      </c>
      <c r="J26" s="3">
        <v>1</v>
      </c>
      <c r="K26" s="10">
        <v>50</v>
      </c>
      <c r="L26" s="10">
        <v>60</v>
      </c>
      <c r="M26" s="13">
        <f>1000*I2*J26/(I26*L26)</f>
        <v>1.5413070283600494</v>
      </c>
    </row>
    <row r="27" spans="2:13" ht="16.5" thickBot="1" x14ac:dyDescent="0.25">
      <c r="B27" s="12">
        <v>160</v>
      </c>
      <c r="C27" s="7"/>
      <c r="D27" s="7"/>
      <c r="E27" s="7"/>
      <c r="F27" s="7">
        <f t="shared" si="1"/>
        <v>154</v>
      </c>
      <c r="G27" s="7">
        <f t="shared" si="1"/>
        <v>150</v>
      </c>
      <c r="H27" s="7">
        <f t="shared" si="1"/>
        <v>144</v>
      </c>
      <c r="I27" s="7">
        <v>10460</v>
      </c>
      <c r="J27" s="3">
        <v>1</v>
      </c>
      <c r="K27" s="10">
        <v>50</v>
      </c>
      <c r="L27" s="10">
        <v>60</v>
      </c>
      <c r="M27" s="13">
        <f>1000*I2*J27/(I27*L27)</f>
        <v>1.1950286806883366</v>
      </c>
    </row>
    <row r="28" spans="2:13" ht="16.5" thickBot="1" x14ac:dyDescent="0.25">
      <c r="B28" s="12">
        <v>180</v>
      </c>
      <c r="C28" s="7"/>
      <c r="D28" s="7"/>
      <c r="E28" s="7"/>
      <c r="F28" s="7">
        <f t="shared" si="1"/>
        <v>174</v>
      </c>
      <c r="G28" s="7">
        <f t="shared" si="1"/>
        <v>170</v>
      </c>
      <c r="H28" s="7">
        <f t="shared" si="1"/>
        <v>164</v>
      </c>
      <c r="I28" s="7">
        <v>13400</v>
      </c>
      <c r="J28" s="3">
        <v>1</v>
      </c>
      <c r="K28" s="10">
        <v>50</v>
      </c>
      <c r="L28" s="10">
        <v>60</v>
      </c>
      <c r="M28" s="13">
        <f>1000*I2*J28/(I28*L28)</f>
        <v>0.93283582089552242</v>
      </c>
    </row>
    <row r="29" spans="2:13" ht="16.5" thickBot="1" x14ac:dyDescent="0.25">
      <c r="B29" s="12">
        <v>200</v>
      </c>
      <c r="C29" s="7"/>
      <c r="D29" s="7"/>
      <c r="E29" s="7"/>
      <c r="F29" s="7"/>
      <c r="G29" s="7">
        <f t="shared" si="1"/>
        <v>190</v>
      </c>
      <c r="H29" s="7">
        <f t="shared" si="1"/>
        <v>184</v>
      </c>
      <c r="I29" s="7">
        <v>16630</v>
      </c>
      <c r="J29" s="3">
        <v>1</v>
      </c>
      <c r="K29" s="10">
        <v>50</v>
      </c>
      <c r="L29" s="10">
        <v>60</v>
      </c>
      <c r="M29" s="13">
        <f>1000*I2*J29/(I29*L29)</f>
        <v>0.75165363800360796</v>
      </c>
    </row>
    <row r="30" spans="2:13" ht="16.5" thickBot="1" x14ac:dyDescent="0.25">
      <c r="B30" s="12">
        <v>220</v>
      </c>
      <c r="C30" s="7"/>
      <c r="D30" s="7"/>
      <c r="E30" s="7"/>
      <c r="F30" s="7"/>
      <c r="G30" s="7">
        <f t="shared" si="1"/>
        <v>210</v>
      </c>
      <c r="H30" s="7">
        <f t="shared" si="1"/>
        <v>204</v>
      </c>
      <c r="I30" s="7">
        <v>20080</v>
      </c>
      <c r="J30" s="3">
        <v>1</v>
      </c>
      <c r="K30" s="10">
        <v>50</v>
      </c>
      <c r="L30" s="10">
        <v>60</v>
      </c>
      <c r="M30" s="13">
        <f>1000*I2*J30/(I30*L30)</f>
        <v>0.62250996015936255</v>
      </c>
    </row>
    <row r="31" spans="2:13" ht="16.5" thickBot="1" x14ac:dyDescent="0.25">
      <c r="B31" s="12">
        <v>240</v>
      </c>
      <c r="C31" s="7"/>
      <c r="D31" s="7"/>
      <c r="E31" s="7"/>
      <c r="F31" s="7"/>
      <c r="G31" s="7">
        <f t="shared" si="1"/>
        <v>230</v>
      </c>
      <c r="H31" s="7">
        <f t="shared" si="1"/>
        <v>224</v>
      </c>
      <c r="I31" s="7">
        <v>23800</v>
      </c>
      <c r="J31" s="3">
        <v>1</v>
      </c>
      <c r="K31" s="10">
        <v>50</v>
      </c>
      <c r="L31" s="10">
        <v>60</v>
      </c>
      <c r="M31" s="13">
        <f>1000*I2*J31/(I31*L31)</f>
        <v>0.52521008403361347</v>
      </c>
    </row>
    <row r="32" spans="2:13" ht="16.5" thickBot="1" x14ac:dyDescent="0.25">
      <c r="B32" s="12">
        <v>260</v>
      </c>
      <c r="C32" s="7"/>
      <c r="D32" s="7"/>
      <c r="E32" s="7"/>
      <c r="F32" s="7"/>
      <c r="G32" s="7">
        <f t="shared" si="1"/>
        <v>250</v>
      </c>
      <c r="H32" s="7">
        <f t="shared" si="1"/>
        <v>244</v>
      </c>
      <c r="I32" s="7">
        <v>28400</v>
      </c>
      <c r="J32" s="3">
        <v>1</v>
      </c>
      <c r="K32" s="10">
        <v>50</v>
      </c>
      <c r="L32" s="10">
        <v>60</v>
      </c>
      <c r="M32" s="13">
        <f>1000*I2*J32/(I32*L32)</f>
        <v>0.44014084507042256</v>
      </c>
    </row>
    <row r="33" spans="2:13" ht="16.5" thickBot="1" x14ac:dyDescent="0.25">
      <c r="B33" s="12">
        <v>300</v>
      </c>
      <c r="C33" s="7"/>
      <c r="D33" s="7"/>
      <c r="E33" s="7"/>
      <c r="F33" s="7"/>
      <c r="G33" s="7">
        <f t="shared" si="1"/>
        <v>290</v>
      </c>
      <c r="H33" s="7">
        <f t="shared" si="1"/>
        <v>284</v>
      </c>
      <c r="I33" s="7">
        <v>38170</v>
      </c>
      <c r="J33" s="3">
        <v>1</v>
      </c>
      <c r="K33" s="18">
        <v>50</v>
      </c>
      <c r="L33" s="10">
        <v>60</v>
      </c>
      <c r="M33" s="13">
        <f>1000*I2*J33/(I33*L33)</f>
        <v>0.32748231595493843</v>
      </c>
    </row>
    <row r="34" spans="2:13" ht="16.5" thickBot="1" x14ac:dyDescent="0.25">
      <c r="B34" s="14">
        <v>340</v>
      </c>
      <c r="C34" s="15"/>
      <c r="D34" s="15"/>
      <c r="E34" s="15"/>
      <c r="F34" s="15"/>
      <c r="G34" s="15"/>
      <c r="H34" s="15">
        <f t="shared" si="1"/>
        <v>324</v>
      </c>
      <c r="I34" s="15">
        <v>49000</v>
      </c>
      <c r="J34" s="3">
        <v>1</v>
      </c>
      <c r="K34" s="4">
        <v>50</v>
      </c>
      <c r="L34" s="10">
        <v>60</v>
      </c>
      <c r="M34" s="16">
        <f>1000*I2*J34/(I34*L34)</f>
        <v>0.25510204081632654</v>
      </c>
    </row>
  </sheetData>
  <mergeCells count="9">
    <mergeCell ref="I2:J2"/>
    <mergeCell ref="B2:H2"/>
    <mergeCell ref="K3:K4"/>
    <mergeCell ref="L3:L4"/>
    <mergeCell ref="M3:M4"/>
    <mergeCell ref="B3:B4"/>
    <mergeCell ref="C3:H3"/>
    <mergeCell ref="I3:I4"/>
    <mergeCell ref="J3:J4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Расчет эвольвентных шлицов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</dc:creator>
  <cp:lastModifiedBy>Никита Жиленко</cp:lastModifiedBy>
  <dcterms:created xsi:type="dcterms:W3CDTF">2012-04-07T08:39:16Z</dcterms:created>
  <dcterms:modified xsi:type="dcterms:W3CDTF">2026-09-16T08:57:08Z</dcterms:modified>
</cp:coreProperties>
</file>