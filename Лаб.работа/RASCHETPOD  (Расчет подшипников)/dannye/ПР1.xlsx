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lumulu\Desktop\Никита\Лаб.работа\RASCHETPOD  (Расчет подшипников)\dannye\"/>
    </mc:Choice>
  </mc:AlternateContent>
  <xr:revisionPtr revIDLastSave="0" documentId="13_ncr:1_{35B834E6-BCAF-4CD8-A2AE-4302D1DA572B}" xr6:coauthVersionLast="47" xr6:coauthVersionMax="47" xr10:uidLastSave="{00000000-0000-0000-0000-000000000000}"/>
  <bookViews>
    <workbookView xWindow="12324" yWindow="4512" windowWidth="17280" windowHeight="896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G2" i="1"/>
  <c r="F2" i="1"/>
</calcChain>
</file>

<file path=xl/sharedStrings.xml><?xml version="1.0" encoding="utf-8"?>
<sst xmlns="http://schemas.openxmlformats.org/spreadsheetml/2006/main" count="39" uniqueCount="39">
  <si>
    <t xml:space="preserve"> ТИП ПОДШИПНИКА</t>
  </si>
  <si>
    <t xml:space="preserve"> 1 - ШАРИКОВЫЙ РАДИАЛЬНЫЙ ИЛИ РАДИАЛЬНО-УПОРНЫЙ</t>
  </si>
  <si>
    <t xml:space="preserve"> 2 - ШАРИКОВЫЙ УПОРНЫЙ ИЛИ УПОРНО-РАДИАЛЬНЫЙ</t>
  </si>
  <si>
    <t xml:space="preserve"> 3 - РОЛИКОВЫЙ РАДИАЛЬНЫЙ ИЛИ РАДИАЛЬНО-УПОРНЫЙ</t>
  </si>
  <si>
    <t xml:space="preserve"> 4 - РОЛИКОВЫЙ УПОРНЫЙ ИЛИ УПОРНО-РАДИАЛЬНЫЙ</t>
  </si>
  <si>
    <t xml:space="preserve"> ДИАМЕТР ТЕЛ КАЧЕНИЯ, ММ</t>
  </si>
  <si>
    <t xml:space="preserve"> ДИАМЕТР ОКРУЖНОСТИ ЦЕНТРОВ ТЕЛ КАЧЕНИЯ, ММ</t>
  </si>
  <si>
    <t xml:space="preserve"> ЧИСЛО ТЕЛ КАЧЕНИЯ В ОДНОМ РЯДУ ПОДШИПНИКА</t>
  </si>
  <si>
    <t xml:space="preserve"> НОМИНАЛЬНЫЙ УГОЛ КОНТАКТА ПОДШИПНИКА, ГРАД.</t>
  </si>
  <si>
    <t>1 - ЕСЛИ ВРАЩАЕТСЯ ВНУТРЕННЕЕ КОЛЬЦО ПОДШИПНИКА</t>
  </si>
  <si>
    <t>2 - ЕСЛИ ВРАЩАЕТСЯ НАРУЖНЕЕ КОЛЬЦО ПОДШИПНИКА</t>
  </si>
  <si>
    <t xml:space="preserve"> КОЛИЧЕСТВО ПЕРЕДАЧ </t>
  </si>
  <si>
    <t xml:space="preserve"> МАКСИМАЛЬНЫЙ МОМЕНТ ДВИГАТЕЛЯ, Нм</t>
  </si>
  <si>
    <t xml:space="preserve"> Максимальная частота вращения ведущего вала, ОБ/МИН</t>
  </si>
  <si>
    <t xml:space="preserve"> Средняя частота вращения двигателя, ОБ/МИН</t>
  </si>
  <si>
    <t xml:space="preserve"> Пробег до капитального ремонта,КМ </t>
  </si>
  <si>
    <t xml:space="preserve"> Средняя скорость, КМ/Ч</t>
  </si>
  <si>
    <t xml:space="preserve"> ДЛИНА РОЛИКА (ЕСЛИ ПОДШИПНИК ШАРИКОВЫЙ, ТО 0), ММ</t>
  </si>
  <si>
    <t>КОЭФФИЦИЕНТ ВРАЩЕНИЯ</t>
  </si>
  <si>
    <t xml:space="preserve"> Коэффициент использования двигателя</t>
  </si>
  <si>
    <t>Число рядов тел качения</t>
  </si>
  <si>
    <t>Тип движителя</t>
  </si>
  <si>
    <t>Какая используется функция распределения работы по передачам:</t>
  </si>
  <si>
    <t>0 - заданная в программе;</t>
  </si>
  <si>
    <t>1 - оригинальная</t>
  </si>
  <si>
    <t xml:space="preserve"> Относительная угловая скорость водила на передачах</t>
  </si>
  <si>
    <t>Число сателлитов планетарного ряда</t>
  </si>
  <si>
    <t>Радиус центров осей сателлитов, мм</t>
  </si>
  <si>
    <t xml:space="preserve"> Относительный момент на водиле по передачам</t>
  </si>
  <si>
    <t xml:space="preserve"> Относительная осевая нагрузка на подшипник по передачам</t>
  </si>
  <si>
    <t xml:space="preserve"> Относительная угловая скорость сателлитов на передачах</t>
  </si>
  <si>
    <t xml:space="preserve"> Масса сателлита, кг</t>
  </si>
  <si>
    <t>1 - колесный (от 4 до 11 передач)</t>
  </si>
  <si>
    <t>2 - гусеничный (от 3 до 8 передач)</t>
  </si>
  <si>
    <t>dтк</t>
  </si>
  <si>
    <t>l</t>
  </si>
  <si>
    <t>q</t>
  </si>
  <si>
    <t>dср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</si>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</sst>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11" borderId="3" xfId="0" applyFont="1" applyFill="1" applyBorder="1" applyAlignment="1">
      <alignment horizontal="left"/>
    </xf>
    <xf numFmtId="0" fontId="1" fillId="11" borderId="5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1" borderId="1" xfId="0" applyFill="1" applyBorder="1"/>
    <xf numFmtId="0" fontId="0" fillId="7" borderId="4" xfId="0" applyFill="1" applyBorder="1"/>
    <xf numFmtId="0" fontId="0" fillId="7" borderId="5" xfId="0" applyFill="1" applyBorder="1"/>
    <xf numFmtId="0" fontId="0" fillId="4" borderId="2" xfId="0" applyFill="1" applyBorder="1" applyAlignment="1">
      <alignment horizontal="left"/>
    </xf>
    <xf numFmtId="0" fontId="0" fillId="4" borderId="1" xfId="0" applyFill="1" applyBorder="1"/>
    <xf numFmtId="0" fontId="0" fillId="15" borderId="2" xfId="0" applyFill="1" applyBorder="1" applyAlignment="1">
      <alignment horizontal="left"/>
    </xf>
    <xf numFmtId="0" fontId="0" fillId="15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16" borderId="7" xfId="0" applyFont="1" applyFill="1" applyBorder="1"/>
    <xf numFmtId="0" fontId="2" fillId="16" borderId="6" xfId="0" applyFont="1" applyFill="1" applyBorder="1"/>
    <xf numFmtId="0" fontId="0" fillId="4" borderId="7" xfId="0" applyFill="1" applyBorder="1"/>
    <xf numFmtId="0" fontId="0" fillId="4" borderId="6" xfId="0" applyFill="1" applyBorder="1"/>
    <xf numFmtId="0" fontId="0" fillId="4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43" zoomScaleNormal="100" workbookViewId="0">
      <selection activeCell="A48" sqref="A48"/>
    </sheetView>
  </sheetViews>
  <sheetFormatPr defaultRowHeight="14.4" x14ac:dyDescent="0.3"/>
  <cols>
    <col min="1" max="1" width="17.44140625" style="1" customWidth="1"/>
    <col min="2" max="2" width="57" customWidth="1"/>
    <col min="3" max="3" width="53.6640625" customWidth="1"/>
  </cols>
  <sheetData>
    <row r="1" spans="1:7" x14ac:dyDescent="0.3">
      <c r="A1" s="2">
        <v>3</v>
      </c>
      <c r="B1" s="8" t="s">
        <v>0</v>
      </c>
      <c r="C1" s="11" t="s">
        <v>1</v>
      </c>
      <c r="E1" s="1" t="s">
        <v>34</v>
      </c>
      <c r="F1">
        <v>2</v>
      </c>
    </row>
    <row r="2" spans="1:7" x14ac:dyDescent="0.3">
      <c r="A2" s="3">
        <v>2</v>
      </c>
      <c r="B2" s="9" t="s">
        <v>5</v>
      </c>
      <c r="C2" s="12" t="s">
        <v>2</v>
      </c>
      <c r="E2" s="1" t="s">
        <v>35</v>
      </c>
      <c r="F2">
        <f>5*F1</f>
        <v>10</v>
      </c>
      <c r="G2">
        <f>10*F1</f>
        <v>20</v>
      </c>
    </row>
    <row r="3" spans="1:7" x14ac:dyDescent="0.3">
      <c r="A3" s="23">
        <v>17</v>
      </c>
      <c r="B3" s="24" t="s">
        <v>6</v>
      </c>
      <c r="C3" s="12" t="s">
        <v>3</v>
      </c>
      <c r="E3" s="1" t="s">
        <v>36</v>
      </c>
      <c r="F3">
        <v>0.6</v>
      </c>
    </row>
    <row r="4" spans="1:7" ht="15" thickBot="1" x14ac:dyDescent="0.35">
      <c r="A4" s="4">
        <v>12</v>
      </c>
      <c r="B4" s="10" t="s">
        <v>17</v>
      </c>
      <c r="C4" s="13" t="s">
        <v>4</v>
      </c>
      <c r="E4" s="1" t="s">
        <v>37</v>
      </c>
      <c r="F4">
        <v>17</v>
      </c>
    </row>
    <row r="5" spans="1:7" ht="15" customHeight="1" x14ac:dyDescent="0.3">
      <c r="A5" s="5">
        <v>27</v>
      </c>
      <c r="B5" s="5" t="s">
        <v>7</v>
      </c>
      <c r="E5" s="1" t="s">
        <v>38</v>
      </c>
      <c r="F5">
        <f>((PI()*F4)-(F3*F1))/F1</f>
        <v>26.103537555513242</v>
      </c>
    </row>
    <row r="6" spans="1:7" ht="15" customHeight="1" x14ac:dyDescent="0.3">
      <c r="A6" s="6">
        <v>1</v>
      </c>
      <c r="B6" s="6" t="s">
        <v>20</v>
      </c>
    </row>
    <row r="7" spans="1:7" ht="15" thickBot="1" x14ac:dyDescent="0.35">
      <c r="A7" s="23">
        <v>0</v>
      </c>
      <c r="B7" s="23" t="s">
        <v>8</v>
      </c>
    </row>
    <row r="8" spans="1:7" x14ac:dyDescent="0.3">
      <c r="A8" s="6">
        <v>2</v>
      </c>
      <c r="B8" s="14" t="s">
        <v>18</v>
      </c>
      <c r="C8" s="21" t="s">
        <v>9</v>
      </c>
    </row>
    <row r="9" spans="1:7" ht="15" thickBot="1" x14ac:dyDescent="0.35">
      <c r="A9" s="7">
        <v>10</v>
      </c>
      <c r="B9" s="15" t="s">
        <v>11</v>
      </c>
      <c r="C9" s="22" t="s">
        <v>10</v>
      </c>
    </row>
    <row r="10" spans="1:7" x14ac:dyDescent="0.3">
      <c r="A10" s="16">
        <v>750</v>
      </c>
      <c r="B10" s="16" t="s">
        <v>12</v>
      </c>
    </row>
    <row r="11" spans="1:7" x14ac:dyDescent="0.3">
      <c r="A11" s="7">
        <v>3000</v>
      </c>
      <c r="B11" s="7" t="s">
        <v>13</v>
      </c>
    </row>
    <row r="12" spans="1:7" x14ac:dyDescent="0.3">
      <c r="A12" s="17">
        <v>0.45</v>
      </c>
      <c r="B12" s="17" t="s">
        <v>19</v>
      </c>
    </row>
    <row r="13" spans="1:7" x14ac:dyDescent="0.3">
      <c r="A13" s="2">
        <v>1950</v>
      </c>
      <c r="B13" s="2" t="s">
        <v>14</v>
      </c>
    </row>
    <row r="14" spans="1:7" x14ac:dyDescent="0.3">
      <c r="A14" s="20">
        <v>250000</v>
      </c>
      <c r="B14" s="20" t="s">
        <v>15</v>
      </c>
    </row>
    <row r="15" spans="1:7" x14ac:dyDescent="0.3">
      <c r="A15" s="19">
        <v>25</v>
      </c>
      <c r="B15" s="19" t="s">
        <v>16</v>
      </c>
    </row>
    <row r="16" spans="1:7" x14ac:dyDescent="0.3">
      <c r="A16" s="18">
        <v>-11.321</v>
      </c>
      <c r="B16" s="39" t="s">
        <v>30</v>
      </c>
    </row>
    <row r="17" spans="1:2" x14ac:dyDescent="0.3">
      <c r="A17" s="18">
        <v>-5.125</v>
      </c>
      <c r="B17" s="39"/>
    </row>
    <row r="18" spans="1:2" x14ac:dyDescent="0.3">
      <c r="A18" s="18">
        <v>0</v>
      </c>
      <c r="B18" s="39"/>
    </row>
    <row r="19" spans="1:2" x14ac:dyDescent="0.3">
      <c r="A19" s="18">
        <v>3.125</v>
      </c>
      <c r="B19" s="39"/>
    </row>
    <row r="20" spans="1:2" x14ac:dyDescent="0.3">
      <c r="A20" s="18">
        <v>3.6440000000000001</v>
      </c>
      <c r="B20" s="39"/>
    </row>
    <row r="21" spans="1:2" x14ac:dyDescent="0.3">
      <c r="A21" s="18">
        <v>3.125</v>
      </c>
      <c r="B21" s="39"/>
    </row>
    <row r="22" spans="1:2" x14ac:dyDescent="0.3">
      <c r="A22" s="18">
        <v>9</v>
      </c>
      <c r="B22" s="39"/>
    </row>
    <row r="23" spans="1:2" x14ac:dyDescent="0.3">
      <c r="A23" s="18">
        <v>-5.125</v>
      </c>
      <c r="B23" s="39"/>
    </row>
    <row r="24" spans="1:2" x14ac:dyDescent="0.3">
      <c r="A24" s="18">
        <v>0</v>
      </c>
      <c r="B24" s="39"/>
    </row>
    <row r="25" spans="1:2" x14ac:dyDescent="0.3">
      <c r="A25" s="18">
        <v>3.125</v>
      </c>
      <c r="B25" s="39"/>
    </row>
    <row r="26" spans="1:2" x14ac:dyDescent="0.3">
      <c r="A26" s="7">
        <v>1</v>
      </c>
      <c r="B26" s="40" t="s">
        <v>25</v>
      </c>
    </row>
    <row r="27" spans="1:2" x14ac:dyDescent="0.3">
      <c r="A27" s="7">
        <v>1</v>
      </c>
      <c r="B27" s="40"/>
    </row>
    <row r="28" spans="1:2" x14ac:dyDescent="0.3">
      <c r="A28" s="7">
        <v>1</v>
      </c>
      <c r="B28" s="40"/>
    </row>
    <row r="29" spans="1:2" x14ac:dyDescent="0.3">
      <c r="A29" s="7">
        <v>1</v>
      </c>
      <c r="B29" s="40"/>
    </row>
    <row r="30" spans="1:2" x14ac:dyDescent="0.3">
      <c r="A30" s="7">
        <v>1</v>
      </c>
      <c r="B30" s="40"/>
    </row>
    <row r="31" spans="1:2" x14ac:dyDescent="0.3">
      <c r="A31" s="7">
        <v>1</v>
      </c>
      <c r="B31" s="40"/>
    </row>
    <row r="32" spans="1:2" x14ac:dyDescent="0.3">
      <c r="A32" s="7">
        <v>1</v>
      </c>
      <c r="B32" s="40"/>
    </row>
    <row r="33" spans="1:2" x14ac:dyDescent="0.3">
      <c r="A33" s="7">
        <v>1</v>
      </c>
      <c r="B33" s="40"/>
    </row>
    <row r="34" spans="1:2" x14ac:dyDescent="0.3">
      <c r="A34" s="7">
        <v>1</v>
      </c>
      <c r="B34" s="40"/>
    </row>
    <row r="35" spans="1:2" x14ac:dyDescent="0.3">
      <c r="A35" s="7">
        <v>1</v>
      </c>
      <c r="B35" s="40"/>
    </row>
    <row r="36" spans="1:2" x14ac:dyDescent="0.3">
      <c r="A36" s="33">
        <v>0.04</v>
      </c>
      <c r="B36" s="34" t="s">
        <v>31</v>
      </c>
    </row>
    <row r="37" spans="1:2" x14ac:dyDescent="0.3">
      <c r="A37" s="6">
        <v>68.33</v>
      </c>
      <c r="B37" s="26" t="s">
        <v>27</v>
      </c>
    </row>
    <row r="38" spans="1:2" x14ac:dyDescent="0.3">
      <c r="A38" s="18">
        <v>0</v>
      </c>
      <c r="B38" s="39" t="s">
        <v>28</v>
      </c>
    </row>
    <row r="39" spans="1:2" x14ac:dyDescent="0.3">
      <c r="A39" s="18">
        <v>0</v>
      </c>
      <c r="B39" s="39"/>
    </row>
    <row r="40" spans="1:2" x14ac:dyDescent="0.3">
      <c r="A40" s="18">
        <v>-0.31</v>
      </c>
      <c r="B40" s="39"/>
    </row>
    <row r="41" spans="1:2" x14ac:dyDescent="0.3">
      <c r="A41" s="18">
        <v>-0.43</v>
      </c>
      <c r="B41" s="39"/>
    </row>
    <row r="42" spans="1:2" x14ac:dyDescent="0.3">
      <c r="A42" s="18">
        <v>0</v>
      </c>
      <c r="B42" s="39"/>
    </row>
    <row r="43" spans="1:2" x14ac:dyDescent="0.3">
      <c r="A43" s="18">
        <v>0.32</v>
      </c>
      <c r="B43" s="39"/>
    </row>
    <row r="44" spans="1:2" x14ac:dyDescent="0.3">
      <c r="A44" s="18">
        <v>0.18</v>
      </c>
      <c r="B44" s="39"/>
    </row>
    <row r="45" spans="1:2" x14ac:dyDescent="0.3">
      <c r="A45" s="18">
        <v>0</v>
      </c>
      <c r="B45" s="39"/>
    </row>
    <row r="46" spans="1:2" x14ac:dyDescent="0.3">
      <c r="A46" s="18">
        <v>-1</v>
      </c>
      <c r="B46" s="39"/>
    </row>
    <row r="47" spans="1:2" x14ac:dyDescent="0.3">
      <c r="A47" s="18">
        <v>-1</v>
      </c>
      <c r="B47" s="39"/>
    </row>
    <row r="48" spans="1:2" x14ac:dyDescent="0.3">
      <c r="A48" s="25">
        <v>0</v>
      </c>
      <c r="B48" s="41" t="s">
        <v>29</v>
      </c>
    </row>
    <row r="49" spans="1:3" x14ac:dyDescent="0.3">
      <c r="A49" s="25">
        <v>0</v>
      </c>
      <c r="B49" s="41"/>
    </row>
    <row r="50" spans="1:3" x14ac:dyDescent="0.3">
      <c r="A50" s="25">
        <v>0</v>
      </c>
      <c r="B50" s="41"/>
    </row>
    <row r="51" spans="1:3" x14ac:dyDescent="0.3">
      <c r="A51" s="25">
        <v>0</v>
      </c>
      <c r="B51" s="41"/>
    </row>
    <row r="52" spans="1:3" x14ac:dyDescent="0.3">
      <c r="A52" s="25">
        <v>0</v>
      </c>
      <c r="B52" s="41"/>
    </row>
    <row r="53" spans="1:3" x14ac:dyDescent="0.3">
      <c r="A53" s="25">
        <v>0</v>
      </c>
      <c r="B53" s="41"/>
    </row>
    <row r="54" spans="1:3" x14ac:dyDescent="0.3">
      <c r="A54" s="25">
        <v>0</v>
      </c>
      <c r="B54" s="41"/>
    </row>
    <row r="55" spans="1:3" x14ac:dyDescent="0.3">
      <c r="A55" s="25">
        <v>0</v>
      </c>
      <c r="B55" s="41"/>
    </row>
    <row r="56" spans="1:3" x14ac:dyDescent="0.3">
      <c r="A56" s="25">
        <v>0</v>
      </c>
      <c r="B56" s="41"/>
    </row>
    <row r="57" spans="1:3" ht="15" thickBot="1" x14ac:dyDescent="0.35">
      <c r="A57" s="25">
        <v>0</v>
      </c>
      <c r="B57" s="41"/>
    </row>
    <row r="58" spans="1:3" x14ac:dyDescent="0.3">
      <c r="A58" s="29">
        <v>1</v>
      </c>
      <c r="B58" s="30" t="s">
        <v>21</v>
      </c>
      <c r="C58" s="37" t="s">
        <v>32</v>
      </c>
    </row>
    <row r="59" spans="1:3" ht="15" thickBot="1" x14ac:dyDescent="0.35">
      <c r="A59" s="31">
        <v>3</v>
      </c>
      <c r="B59" s="32" t="s">
        <v>26</v>
      </c>
      <c r="C59" s="38" t="s">
        <v>33</v>
      </c>
    </row>
    <row r="60" spans="1:3" x14ac:dyDescent="0.3">
      <c r="A60" s="9">
        <v>0</v>
      </c>
      <c r="B60" s="27" t="s">
        <v>22</v>
      </c>
      <c r="C60" s="35"/>
    </row>
    <row r="61" spans="1:3" ht="15" thickBot="1" x14ac:dyDescent="0.35">
      <c r="B61" s="27" t="s">
        <v>23</v>
      </c>
      <c r="C61" s="36"/>
    </row>
    <row r="62" spans="1:3" ht="15" thickBot="1" x14ac:dyDescent="0.35">
      <c r="B62" s="28" t="s">
        <v>24</v>
      </c>
    </row>
  </sheetData>
  <mergeCells count="4">
    <mergeCell ref="B16:B25"/>
    <mergeCell ref="B26:B35"/>
    <mergeCell ref="B38:B47"/>
    <mergeCell ref="B48:B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Ильнур</cp:lastModifiedBy>
  <dcterms:created xsi:type="dcterms:W3CDTF">2022-03-21T09:24:57Z</dcterms:created>
  <dcterms:modified xsi:type="dcterms:W3CDTF">2026-03-03T18:10:33Z</dcterms:modified>
</cp:coreProperties>
</file>