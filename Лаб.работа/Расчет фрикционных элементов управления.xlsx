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bookViews>
    <workbookView xWindow="-28920" yWindow="-120" windowWidth="29040" windowHeight="15720"/>
  </bookViews>
  <sheets>
    <sheet name="q" sheetId="8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<sst xmlns="http://schemas.openxmlformats.org/spreadsheetml/2006/main" count="35" uniqueCount="35">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</sst>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49"/>
  <sheetViews>
    <sheetView tabSelected="1" zoomScale="55" zoomScaleNormal="55" workbookViewId="0">
      <selection activeCell="B18" sqref="B18:L18"/>
    </sheetView>
  </sheetViews>
  <sheetFormatPr defaultRowHeight="12.75" x14ac:dyDescent="0.35"/>
  <cols>
    <col min="1" max="1" width="116.86328125" customWidth="1"/>
    <col min="2" max="2" width="14" customWidth="1"/>
    <col min="4" max="4" width="14.3984375" customWidth="1"/>
    <col min="6" max="6" width="17.3984375" customWidth="1"/>
    <col min="8" max="8" width="13.59765625" customWidth="1"/>
    <col min="9" max="9" width="6" customWidth="1"/>
    <col min="10" max="10" width="16" customWidth="1"/>
    <col min="12" max="12" width="14.3984375" customWidth="1"/>
  </cols>
  <sheetData>
    <row r="4" spans="1:14" ht="17.649999999999999" x14ac:dyDescent="0.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45">
      <c r="B5" s="1"/>
      <c r="C5" s="1"/>
      <c r="D5" s="1"/>
      <c r="E5" s="1"/>
      <c r="F5" s="1"/>
      <c r="G5" s="1"/>
      <c r="H5" s="1"/>
      <c r="I5" s="1"/>
      <c r="J5" s="1"/>
    </row>
    <row r="6" spans="1:14" ht="25.15" x14ac:dyDescent="0.35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7.649999999999999" x14ac:dyDescent="0.35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7.649999999999999" x14ac:dyDescent="0.35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7.649999999999999" x14ac:dyDescent="0.35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7.649999999999999" x14ac:dyDescent="0.35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7.649999999999999" x14ac:dyDescent="0.35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22.5</v>
      </c>
      <c r="K11" s="9"/>
      <c r="L11" s="9">
        <v>24</v>
      </c>
    </row>
    <row r="12" spans="1:14" ht="17.649999999999999" x14ac:dyDescent="0.35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7.649999999999999" x14ac:dyDescent="0.35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7.649999999999999" x14ac:dyDescent="0.35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7.649999999999999" x14ac:dyDescent="0.35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7.649999999999999" x14ac:dyDescent="0.35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7.649999999999999" x14ac:dyDescent="0.35">
      <c r="A17" s="24" t="s">
        <v>1</v>
      </c>
      <c r="B17" s="31">
        <v>110</v>
      </c>
      <c r="C17" s="9"/>
      <c r="D17" s="9">
        <v>110</v>
      </c>
      <c r="E17" s="9"/>
      <c r="F17" s="9">
        <v>102</v>
      </c>
      <c r="G17" s="9"/>
      <c r="H17" s="9">
        <v>80</v>
      </c>
      <c r="I17" s="9"/>
      <c r="J17" s="9">
        <v>73</v>
      </c>
      <c r="K17" s="9"/>
      <c r="L17" s="9">
        <v>90</v>
      </c>
      <c r="N17" t="s">
        <v>31</v>
      </c>
    </row>
    <row r="18" spans="1:14" ht="17.649999999999999" x14ac:dyDescent="0.35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7.649999999999999" x14ac:dyDescent="0.35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7.649999999999999" x14ac:dyDescent="0.35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7.649999999999999" x14ac:dyDescent="0.35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</v>
      </c>
      <c r="K21" s="32"/>
      <c r="L21" s="32">
        <v>0.12</v>
      </c>
      <c r="N21" t="s">
        <v>33</v>
      </c>
    </row>
    <row r="22" spans="1:14" ht="17.649999999999999" x14ac:dyDescent="0.35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7.649999999999999" x14ac:dyDescent="0.35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7.649999999999999" x14ac:dyDescent="0.35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7.649999999999999" x14ac:dyDescent="0.35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7.649999999999999" x14ac:dyDescent="0.35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7.649999999999999" x14ac:dyDescent="0.35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7.649999999999999" x14ac:dyDescent="0.35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7.649999999999999" x14ac:dyDescent="0.35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7.649999999999999" x14ac:dyDescent="0.35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7.649999999999999" x14ac:dyDescent="0.35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7.649999999999999" x14ac:dyDescent="0.35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7.649999999999999" x14ac:dyDescent="0.35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81.111111111111114</v>
      </c>
      <c r="K33" s="11"/>
      <c r="L33" s="11">
        <f>L17/(1-L21)</f>
        <v>102.27272727272727</v>
      </c>
    </row>
    <row r="34" spans="1:25" ht="17.649999999999999" x14ac:dyDescent="0.35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7.649999999999999" x14ac:dyDescent="0.35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8.1111111111111143</v>
      </c>
      <c r="K35" s="10"/>
      <c r="L35" s="10">
        <f>L33-L17</f>
        <v>12.272727272727266</v>
      </c>
    </row>
    <row r="36" spans="1:25" ht="17.25" x14ac:dyDescent="0.35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7.649999999999999" x14ac:dyDescent="0.35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77.055555555555557</v>
      </c>
      <c r="K37" s="13"/>
      <c r="L37" s="13">
        <f>(L17+L33)/2</f>
        <v>96.136363636363626</v>
      </c>
    </row>
    <row r="38" spans="1:25" ht="17.649999999999999" x14ac:dyDescent="0.35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7.649999999999999" x14ac:dyDescent="0.35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7908.875</v>
      </c>
      <c r="K39" s="13"/>
      <c r="L39" s="13">
        <f>L23*(L9*L9-L11*L11)</f>
        <v>11052.800000000001</v>
      </c>
    </row>
    <row r="40" spans="1:25" ht="17.649999999999999" x14ac:dyDescent="0.35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7.649999999999999" x14ac:dyDescent="0.35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11863.3125</v>
      </c>
      <c r="K41" s="13"/>
      <c r="L41" s="13">
        <f>L15*L39</f>
        <v>16579.2</v>
      </c>
    </row>
    <row r="42" spans="1:25" ht="17.649999999999999" x14ac:dyDescent="0.35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7.649999999999999" x14ac:dyDescent="0.35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9886.09375</v>
      </c>
      <c r="K43" s="13"/>
      <c r="L43" s="13">
        <f>L41/1.2</f>
        <v>13816.000000000002</v>
      </c>
    </row>
    <row r="44" spans="1:25" ht="17.649999999999999" x14ac:dyDescent="0.35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7.649999999999999" x14ac:dyDescent="0.35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1977.21875</v>
      </c>
      <c r="K45" s="13"/>
      <c r="L45" s="13">
        <f>0.2*L43</f>
        <v>2763.2000000000007</v>
      </c>
    </row>
    <row r="46" spans="1:25" ht="17.649999999999999" x14ac:dyDescent="0.35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7.649999999999999" x14ac:dyDescent="0.35">
      <c r="A47" s="41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7.8349413013613081</v>
      </c>
      <c r="G47" s="11"/>
      <c r="H47" s="12">
        <f>1000*H31/(H43*H13*H37)</f>
        <v>4.8066494448936128</v>
      </c>
      <c r="I47" s="12"/>
      <c r="J47" s="13">
        <f>1000*J31/(J43*J13*J37)</f>
        <v>3.7412452587618859</v>
      </c>
      <c r="K47" s="13"/>
      <c r="L47" s="13">
        <f>1000*L31/(L43*L13*L37)</f>
        <v>5.1243393413741698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7.8349413013613098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3.7412452587618863</v>
      </c>
      <c r="Y47">
        <f t="shared" si="3"/>
        <v>5.1243393413741698</v>
      </c>
    </row>
    <row r="48" spans="1:25" ht="17.649999999999999" x14ac:dyDescent="0.35">
      <c r="A48" s="42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" thickBot="1" x14ac:dyDescent="0.4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3.154605230729798</v>
      </c>
      <c r="G49" s="21"/>
      <c r="H49" s="22">
        <f>H43/(2*H23*H37*H35*(1-H19))</f>
        <v>3.1317973889802642</v>
      </c>
      <c r="I49" s="22"/>
      <c r="J49" s="23">
        <f>J43/(2*J23*J37*J35*(1-J19))</f>
        <v>3.1484064046281013</v>
      </c>
      <c r="K49" s="23"/>
      <c r="L49" s="23">
        <f>L43/(2*L23*L37*L35*(1-L19))</f>
        <v>2.3307941511251218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3.1546052307297976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3.1484064046281026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2026-05-06T08:18:52Z</dcterms:modified>
</cp:coreProperties>
</file>