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lumulu\Desktop\Никита\Лаб.работа\"/>
    </mc:Choice>
  </mc:AlternateContent>
  <xr:revisionPtr revIDLastSave="0" documentId="13_ncr:1_{58948580-98B9-4CB8-A3B5-871BC79B21D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" i="8" l="1"/>
  <c r="D25" i="8"/>
  <c r="D13" i="8"/>
  <c r="Y49" i="8"/>
  <c r="W49" i="8"/>
  <c r="D15" i="8"/>
  <c r="H17" i="8"/>
  <c r="U49" i="8" s="1"/>
  <c r="B39" i="8"/>
  <c r="B41" i="8" s="1"/>
  <c r="B43" i="8" s="1"/>
  <c r="B45" i="8" s="1"/>
  <c r="B29" i="8"/>
  <c r="B31" i="8" s="1"/>
  <c r="H39" i="8"/>
  <c r="H41" i="8" s="1"/>
  <c r="H43" i="8" s="1"/>
  <c r="D17" i="8"/>
  <c r="D33" i="8" s="1"/>
  <c r="D35" i="8" s="1"/>
  <c r="B17" i="8"/>
  <c r="O49" i="8" s="1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<sst xmlns="http://schemas.openxmlformats.org/spreadsheetml/2006/main" count="35" uniqueCount="35">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</sst>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5" zoomScale="55" zoomScaleNormal="55" workbookViewId="0">
      <selection activeCell="Q38" sqref="Q38"/>
    </sheetView>
  </sheetViews>
  <sheetFormatPr defaultRowHeight="13.2" x14ac:dyDescent="0.25"/>
  <cols>
    <col min="1" max="1" width="116.77734375" customWidth="1"/>
    <col min="2" max="2" width="14" customWidth="1"/>
    <col min="4" max="4" width="14.44140625" customWidth="1"/>
    <col min="6" max="6" width="17.44140625" customWidth="1"/>
    <col min="8" max="8" width="13.5546875" customWidth="1"/>
    <col min="9" max="9" width="6" customWidth="1"/>
    <col min="10" max="10" width="16" customWidth="1"/>
    <col min="12" max="12" width="14.44140625" customWidth="1"/>
  </cols>
  <sheetData>
    <row r="4" spans="1:14" ht="17.399999999999999" x14ac:dyDescent="0.3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8" thickBot="1" x14ac:dyDescent="0.3">
      <c r="B5" s="1"/>
      <c r="C5" s="1"/>
      <c r="D5" s="1"/>
      <c r="E5" s="1"/>
      <c r="F5" s="1"/>
      <c r="G5" s="1"/>
      <c r="H5" s="1"/>
      <c r="I5" s="1"/>
      <c r="J5" s="1"/>
    </row>
    <row r="6" spans="1:14" ht="24.6" x14ac:dyDescent="0.25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7.399999999999999" x14ac:dyDescent="0.25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7.399999999999999" x14ac:dyDescent="0.25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7.399999999999999" x14ac:dyDescent="0.25">
      <c r="A9" s="24" t="s">
        <v>2</v>
      </c>
      <c r="B9" s="31">
        <v>115</v>
      </c>
      <c r="C9" s="9"/>
      <c r="D9" s="9">
        <v>116</v>
      </c>
      <c r="E9" s="9"/>
      <c r="F9" s="9">
        <v>141</v>
      </c>
      <c r="G9" s="9"/>
      <c r="H9" s="9">
        <v>97</v>
      </c>
      <c r="I9" s="9"/>
      <c r="J9" s="9">
        <v>55</v>
      </c>
      <c r="K9" s="9"/>
      <c r="L9" s="9">
        <v>59</v>
      </c>
    </row>
    <row r="10" spans="1:14" ht="17.399999999999999" x14ac:dyDescent="0.25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7.399999999999999" x14ac:dyDescent="0.25">
      <c r="A11" s="24" t="s">
        <v>3</v>
      </c>
      <c r="B11" s="31">
        <v>95</v>
      </c>
      <c r="C11" s="9"/>
      <c r="D11" s="9">
        <v>96</v>
      </c>
      <c r="E11" s="9"/>
      <c r="F11" s="9">
        <v>102</v>
      </c>
      <c r="G11" s="9"/>
      <c r="H11" s="9">
        <v>80</v>
      </c>
      <c r="I11" s="9"/>
      <c r="J11" s="9">
        <v>22.5</v>
      </c>
      <c r="K11" s="9"/>
      <c r="L11" s="9">
        <v>22.5</v>
      </c>
    </row>
    <row r="12" spans="1:14" ht="17.399999999999999" x14ac:dyDescent="0.25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7.399999999999999" x14ac:dyDescent="0.25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7.399999999999999" x14ac:dyDescent="0.25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7.399999999999999" x14ac:dyDescent="0.25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7.399999999999999" x14ac:dyDescent="0.25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7.399999999999999" x14ac:dyDescent="0.25">
      <c r="A17" s="24" t="s">
        <v>1</v>
      </c>
      <c r="B17" s="31">
        <f>B11</f>
        <v>95</v>
      </c>
      <c r="C17" s="9"/>
      <c r="D17" s="9">
        <f>D11</f>
        <v>96</v>
      </c>
      <c r="E17" s="9"/>
      <c r="F17" s="9">
        <f>F11</f>
        <v>102</v>
      </c>
      <c r="G17" s="9"/>
      <c r="H17" s="9">
        <f>H11</f>
        <v>80</v>
      </c>
      <c r="I17" s="9"/>
      <c r="J17" s="9">
        <v>73</v>
      </c>
      <c r="K17" s="9"/>
      <c r="L17" s="9">
        <v>80</v>
      </c>
      <c r="N17" t="s">
        <v>31</v>
      </c>
    </row>
    <row r="18" spans="1:14" ht="17.399999999999999" x14ac:dyDescent="0.25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7.399999999999999" x14ac:dyDescent="0.25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7.399999999999999" x14ac:dyDescent="0.25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7.399999999999999" x14ac:dyDescent="0.25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</v>
      </c>
      <c r="K21" s="32"/>
      <c r="L21" s="32">
        <v>0.1</v>
      </c>
      <c r="N21" t="s">
        <v>33</v>
      </c>
    </row>
    <row r="22" spans="1:14" ht="17.399999999999999" x14ac:dyDescent="0.25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7.399999999999999" x14ac:dyDescent="0.25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7.399999999999999" x14ac:dyDescent="0.25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7.399999999999999" x14ac:dyDescent="0.25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7.399999999999999" x14ac:dyDescent="0.25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7.399999999999999" x14ac:dyDescent="0.25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7.399999999999999" x14ac:dyDescent="0.25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7.399999999999999" x14ac:dyDescent="0.25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7.399999999999999" x14ac:dyDescent="0.25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7.399999999999999" x14ac:dyDescent="0.25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7.399999999999999" x14ac:dyDescent="0.25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7.399999999999999" x14ac:dyDescent="0.25">
      <c r="A33" s="27" t="s">
        <v>6</v>
      </c>
      <c r="B33" s="11">
        <f>B17/(1-B21)</f>
        <v>105.55555555555556</v>
      </c>
      <c r="C33" s="11"/>
      <c r="D33" s="11">
        <f>D17/(1-D21)</f>
        <v>106.66666666666666</v>
      </c>
      <c r="E33" s="11"/>
      <c r="F33" s="11">
        <f>F17/(1-F21)</f>
        <v>127.5</v>
      </c>
      <c r="G33" s="11"/>
      <c r="H33" s="11">
        <f>H17/(1-H21)</f>
        <v>88.888888888888886</v>
      </c>
      <c r="I33" s="11"/>
      <c r="J33" s="11">
        <f>J17/(1-J21)</f>
        <v>81.111111111111114</v>
      </c>
      <c r="K33" s="11"/>
      <c r="L33" s="11">
        <f>L17/(1-L21)</f>
        <v>88.888888888888886</v>
      </c>
    </row>
    <row r="34" spans="1:25" ht="17.399999999999999" x14ac:dyDescent="0.25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7.399999999999999" x14ac:dyDescent="0.25">
      <c r="A35" s="27" t="s">
        <v>0</v>
      </c>
      <c r="B35" s="10">
        <f>B33-B17</f>
        <v>10.555555555555557</v>
      </c>
      <c r="C35" s="10"/>
      <c r="D35" s="10">
        <f t="shared" ref="D35:J35" si="0">D33-D17</f>
        <v>10.666666666666657</v>
      </c>
      <c r="E35" s="10"/>
      <c r="F35" s="10">
        <f t="shared" si="0"/>
        <v>25.5</v>
      </c>
      <c r="G35" s="10"/>
      <c r="H35" s="10">
        <f t="shared" si="0"/>
        <v>8.8888888888888857</v>
      </c>
      <c r="I35" s="10"/>
      <c r="J35" s="10">
        <f t="shared" si="0"/>
        <v>8.1111111111111143</v>
      </c>
      <c r="K35" s="10"/>
      <c r="L35" s="10">
        <f>L33-L17</f>
        <v>8.8888888888888857</v>
      </c>
    </row>
    <row r="36" spans="1:25" ht="17.399999999999999" x14ac:dyDescent="0.25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7.399999999999999" x14ac:dyDescent="0.25">
      <c r="A37" s="27" t="s">
        <v>9</v>
      </c>
      <c r="B37" s="10">
        <f>(B17+B33)/2</f>
        <v>100.27777777777777</v>
      </c>
      <c r="C37" s="11"/>
      <c r="D37" s="11">
        <f>(D17+D33)/2</f>
        <v>101.33333333333333</v>
      </c>
      <c r="E37" s="11"/>
      <c r="F37" s="12">
        <f>(F17+F33)/2</f>
        <v>114.75</v>
      </c>
      <c r="G37" s="11"/>
      <c r="H37" s="12">
        <f>(H17+H33)/2</f>
        <v>84.444444444444443</v>
      </c>
      <c r="I37" s="12"/>
      <c r="J37" s="13">
        <f>(J17+J33)/2</f>
        <v>77.055555555555557</v>
      </c>
      <c r="K37" s="13"/>
      <c r="L37" s="13">
        <f>(L17+L33)/2</f>
        <v>84.444444444444443</v>
      </c>
    </row>
    <row r="38" spans="1:25" ht="17.399999999999999" x14ac:dyDescent="0.25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7.399999999999999" x14ac:dyDescent="0.25">
      <c r="A39" s="27" t="s">
        <v>19</v>
      </c>
      <c r="B39" s="10">
        <f>B23*(B9*B9-B11*B11)</f>
        <v>13188</v>
      </c>
      <c r="C39" s="11"/>
      <c r="D39" s="11">
        <f>D23*(D9*D9-D11*D11)</f>
        <v>13313.6</v>
      </c>
      <c r="E39" s="11"/>
      <c r="F39" s="12">
        <f>F23*(F9*F9-F11*F11)</f>
        <v>29757.780000000002</v>
      </c>
      <c r="G39" s="11"/>
      <c r="H39" s="12">
        <f>H23*(H9*H9-H11*H11)</f>
        <v>9448.26</v>
      </c>
      <c r="I39" s="12"/>
      <c r="J39" s="13">
        <f>J23*(J9*J9-J11*J11)</f>
        <v>7908.875</v>
      </c>
      <c r="K39" s="13"/>
      <c r="L39" s="13">
        <f>L23*(L9*L9-L11*L11)</f>
        <v>9340.7150000000001</v>
      </c>
    </row>
    <row r="40" spans="1:25" ht="17.399999999999999" x14ac:dyDescent="0.25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7.399999999999999" x14ac:dyDescent="0.25">
      <c r="A41" s="27" t="s">
        <v>10</v>
      </c>
      <c r="B41" s="10">
        <f>B15*B39</f>
        <v>19782</v>
      </c>
      <c r="C41" s="11"/>
      <c r="D41" s="11">
        <f>D15*D39</f>
        <v>19970.400000000001</v>
      </c>
      <c r="E41" s="11"/>
      <c r="F41" s="12">
        <f>F15*F39</f>
        <v>44636.670000000006</v>
      </c>
      <c r="G41" s="11"/>
      <c r="H41" s="12">
        <f>H15*H39</f>
        <v>14172.39</v>
      </c>
      <c r="I41" s="12"/>
      <c r="J41" s="13">
        <f>J15*J39</f>
        <v>11863.3125</v>
      </c>
      <c r="K41" s="13"/>
      <c r="L41" s="13">
        <f>L15*L39</f>
        <v>14011.0725</v>
      </c>
    </row>
    <row r="42" spans="1:25" ht="17.399999999999999" x14ac:dyDescent="0.25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7.399999999999999" x14ac:dyDescent="0.25">
      <c r="A43" s="27" t="s">
        <v>5</v>
      </c>
      <c r="B43" s="10">
        <f>B41/1.2</f>
        <v>16485</v>
      </c>
      <c r="C43" s="11"/>
      <c r="D43" s="11">
        <f t="shared" ref="D43:J43" si="1">D41/1.2</f>
        <v>16642.000000000004</v>
      </c>
      <c r="E43" s="11"/>
      <c r="F43" s="12">
        <f t="shared" si="1"/>
        <v>37197.225000000006</v>
      </c>
      <c r="G43" s="11"/>
      <c r="H43" s="12">
        <f t="shared" si="1"/>
        <v>11810.325000000001</v>
      </c>
      <c r="I43" s="12"/>
      <c r="J43" s="13">
        <f t="shared" si="1"/>
        <v>9886.09375</v>
      </c>
      <c r="K43" s="13"/>
      <c r="L43" s="13">
        <f>L41/1.2</f>
        <v>11675.893750000001</v>
      </c>
    </row>
    <row r="44" spans="1:25" ht="17.399999999999999" x14ac:dyDescent="0.25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7.399999999999999" x14ac:dyDescent="0.25">
      <c r="A45" s="27" t="s">
        <v>4</v>
      </c>
      <c r="B45" s="10">
        <f>0.2*B43</f>
        <v>3297</v>
      </c>
      <c r="C45" s="11"/>
      <c r="D45" s="11">
        <f t="shared" ref="D45:J45" si="2">0.2*D43</f>
        <v>3328.400000000001</v>
      </c>
      <c r="E45" s="11"/>
      <c r="F45" s="12">
        <f t="shared" si="2"/>
        <v>7439.4450000000015</v>
      </c>
      <c r="G45" s="11"/>
      <c r="H45" s="12">
        <f t="shared" si="2"/>
        <v>2362.0650000000001</v>
      </c>
      <c r="I45" s="12"/>
      <c r="J45" s="13">
        <f t="shared" si="2"/>
        <v>1977.21875</v>
      </c>
      <c r="K45" s="13"/>
      <c r="L45" s="13">
        <f>0.2*L43</f>
        <v>2335.1787500000005</v>
      </c>
    </row>
    <row r="46" spans="1:25" ht="17.399999999999999" x14ac:dyDescent="0.25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7.399999999999999" x14ac:dyDescent="0.25">
      <c r="A47" s="37" t="s">
        <v>25</v>
      </c>
      <c r="B47" s="10">
        <f>1000*B31/(B43*B13*B37)</f>
        <v>1.8677266414443756</v>
      </c>
      <c r="C47" s="11"/>
      <c r="D47" s="11">
        <f>1000*D31/(D43*D13*D37)</f>
        <v>2.2162735058412761</v>
      </c>
      <c r="E47" s="11"/>
      <c r="F47" s="12">
        <f>1000*F31/(F43*F13*F37)</f>
        <v>7.9366293651016715</v>
      </c>
      <c r="G47" s="11"/>
      <c r="H47" s="12">
        <f>1000*H31/(H43*H13*H37)</f>
        <v>4.8066494448936128</v>
      </c>
      <c r="I47" s="12"/>
      <c r="J47" s="13">
        <f>1000*J31/(J43*J13*J37)</f>
        <v>3.7412452587618859</v>
      </c>
      <c r="K47" s="13"/>
      <c r="L47" s="13">
        <f>1000*L31/(L43*L13*L37)</f>
        <v>6.9031399799581434</v>
      </c>
      <c r="O47">
        <f>(1.2*1000*B27*B25*B7*(1-B21))/(B13*B15*B23*(B9*B9-B11*B11)*(1-0.5*B21)*B17)</f>
        <v>1.8677266414443754</v>
      </c>
      <c r="Q47">
        <f>(1.2*1000*D27*D25*D7*(1-D21))/(D13*D15*D23*(D9*D9-D11*D11)*(1-0.5*D21)*D17)</f>
        <v>2.2162735058412766</v>
      </c>
      <c r="S47">
        <f>(1.2*1000*F27*F25*F7*(1-F21))/(F13*F15*F23*(F9*F9-F11*F11)*(1-0.5*F21)*F17)</f>
        <v>7.9366293651016733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3.7412452587618863</v>
      </c>
      <c r="Y47">
        <f t="shared" si="3"/>
        <v>6.9031399799581443</v>
      </c>
    </row>
    <row r="48" spans="1:25" ht="17.399999999999999" x14ac:dyDescent="0.25">
      <c r="A48" s="38"/>
      <c r="B48" s="16">
        <v>2</v>
      </c>
      <c r="C48" s="17"/>
      <c r="D48" s="17">
        <v>4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8</v>
      </c>
    </row>
    <row r="49" spans="1:25" ht="18" thickBot="1" x14ac:dyDescent="0.3">
      <c r="A49" s="30" t="s">
        <v>24</v>
      </c>
      <c r="B49" s="20">
        <f>B43/(2*B23*B37*B35*(1-B19))</f>
        <v>3.0999416824609995</v>
      </c>
      <c r="C49" s="21"/>
      <c r="D49" s="21">
        <f>D43/(2*D23*D37*D35*(1-D19))</f>
        <v>3.06460731907895</v>
      </c>
      <c r="E49" s="21"/>
      <c r="F49" s="22">
        <f>F43/(2*F23*F37*F35*(1-F19))</f>
        <v>3.1141868512110733</v>
      </c>
      <c r="G49" s="21"/>
      <c r="H49" s="22">
        <f>H43/(2*H23*H37*H35*(1-H19))</f>
        <v>3.1317973889802642</v>
      </c>
      <c r="I49" s="22"/>
      <c r="J49" s="23">
        <f>J43/(2*J23*J37*J35*(1-J19))</f>
        <v>3.1484064046281013</v>
      </c>
      <c r="K49" s="23"/>
      <c r="L49" s="23">
        <f>L43/(2*L23*L37*L35*(1-L19))</f>
        <v>3.0961496453536195</v>
      </c>
      <c r="O49">
        <f>((B9*B9-B11*B11)*B15*((1-B21)^2))/(1.2*2*(1-0.5*B21)*B17*B17*B21*(1-B19))</f>
        <v>3.0999416824609995</v>
      </c>
      <c r="Q49">
        <f>((D9*D9-D11*D11)*D15*((1-D21)^2))/(1.2*2*(1-0.5*D21)*D17*D17*D21*(1-D19))</f>
        <v>3.0646073190789473</v>
      </c>
      <c r="S49">
        <f>((F9*F9-F11*F11)*F15*((1-F21)^2))/(1.2*2*(1-0.5*F21)*F17*F17*F21*(1-F19))</f>
        <v>3.114186851211072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3.1484064046281026</v>
      </c>
      <c r="Y49">
        <f t="shared" si="4"/>
        <v>3.096149645353619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Ильнур</cp:lastModifiedBy>
  <dcterms:created xsi:type="dcterms:W3CDTF">2011-04-01T07:05:27Z</dcterms:created>
  <dcterms:modified xsi:type="dcterms:W3CDTF">2026-03-03T20:19:23Z</dcterms:modified>
</cp:coreProperties>
</file>