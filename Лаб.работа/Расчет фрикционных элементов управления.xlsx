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BC9C14D9-A065-43E3-85BB-9A740F21A901}" xr6:coauthVersionLast="47" xr6:coauthVersionMax="47" xr10:uidLastSave="{00000000-0000-0000-0000-000000000000}"/>
  <bookViews>
    <workbookView xWindow="5805" yWindow="1935" windowWidth="19245" windowHeight="1350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7" i="8" l="1"/>
  <c r="B47" i="8" s="1"/>
  <c r="B35" i="8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B49" i="8" l="1"/>
  <c r="W47" i="8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<sst xmlns="http://schemas.openxmlformats.org/spreadsheetml/2006/main" count="35" uniqueCount="35">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</sst>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topLeftCell="A6" zoomScale="70" zoomScaleNormal="70" workbookViewId="0">
      <selection activeCell="L33" sqref="L33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160</v>
      </c>
      <c r="G9" s="9"/>
      <c r="H9" s="9">
        <v>90</v>
      </c>
      <c r="I9" s="9"/>
      <c r="J9" s="9">
        <v>68</v>
      </c>
      <c r="K9" s="9"/>
      <c r="L9" s="9">
        <v>64</v>
      </c>
    </row>
    <row r="10" spans="1:14" ht="18" x14ac:dyDescent="0.2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8" x14ac:dyDescent="0.2">
      <c r="A11" s="24" t="s">
        <v>3</v>
      </c>
      <c r="B11" s="31">
        <v>125</v>
      </c>
      <c r="C11" s="9"/>
      <c r="D11" s="31">
        <v>125</v>
      </c>
      <c r="E11" s="9"/>
      <c r="F11" s="9">
        <v>135</v>
      </c>
      <c r="G11" s="9"/>
      <c r="H11" s="9">
        <v>70</v>
      </c>
      <c r="I11" s="9"/>
      <c r="J11" s="9">
        <v>28</v>
      </c>
      <c r="K11" s="9"/>
      <c r="L11" s="9">
        <v>24</v>
      </c>
    </row>
    <row r="12" spans="1:14" ht="18" x14ac:dyDescent="0.2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8" x14ac:dyDescent="0.2">
      <c r="A17" s="24" t="s">
        <v>1</v>
      </c>
      <c r="B17" s="31">
        <v>120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85</v>
      </c>
      <c r="K17" s="9"/>
      <c r="L17" s="9">
        <v>90</v>
      </c>
      <c r="N17" t="s">
        <v>31</v>
      </c>
    </row>
    <row r="18" spans="1:14" ht="18" x14ac:dyDescent="0.2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8" x14ac:dyDescent="0.2">
      <c r="A21" s="25" t="s">
        <v>22</v>
      </c>
      <c r="B21" s="32">
        <v>0.16</v>
      </c>
      <c r="C21" s="32"/>
      <c r="D21" s="32">
        <v>0.1</v>
      </c>
      <c r="E21" s="32"/>
      <c r="F21" s="32">
        <v>0.14000000000000001</v>
      </c>
      <c r="G21" s="32"/>
      <c r="H21" s="32">
        <v>0.125</v>
      </c>
      <c r="I21" s="32"/>
      <c r="J21" s="32">
        <v>0.115</v>
      </c>
      <c r="K21" s="32"/>
      <c r="L21" s="32">
        <v>0.11</v>
      </c>
      <c r="N21" t="s">
        <v>33</v>
      </c>
    </row>
    <row r="22" spans="1:14" ht="18" x14ac:dyDescent="0.2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8" x14ac:dyDescent="0.2">
      <c r="A27" s="24" t="s">
        <v>27</v>
      </c>
      <c r="B27" s="31">
        <v>0.38</v>
      </c>
      <c r="C27" s="9"/>
      <c r="D27" s="9">
        <v>0.78</v>
      </c>
      <c r="E27" s="9"/>
      <c r="F27" s="9">
        <v>6.57</v>
      </c>
      <c r="G27" s="9"/>
      <c r="H27" s="9">
        <v>0.59</v>
      </c>
      <c r="I27" s="9"/>
      <c r="J27" s="9">
        <v>0.61</v>
      </c>
      <c r="K27" s="9"/>
      <c r="L27" s="9">
        <v>1.32</v>
      </c>
    </row>
    <row r="28" spans="1:14" ht="18" x14ac:dyDescent="0.2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585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457.5</v>
      </c>
      <c r="K29" s="13"/>
      <c r="L29" s="13">
        <f>L7*L27</f>
        <v>990</v>
      </c>
    </row>
    <row r="30" spans="1:14" ht="18" x14ac:dyDescent="0.2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760.5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594.75</v>
      </c>
      <c r="K31" s="13"/>
      <c r="L31" s="13">
        <f>L29*L25</f>
        <v>1089</v>
      </c>
    </row>
    <row r="32" spans="1:14" ht="18" x14ac:dyDescent="0.2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8" x14ac:dyDescent="0.2">
      <c r="A33" s="27" t="s">
        <v>6</v>
      </c>
      <c r="B33" s="11">
        <f>B17/(1-B21)</f>
        <v>142.85714285714286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91.428571428571431</v>
      </c>
      <c r="I33" s="11"/>
      <c r="J33" s="11">
        <f>J17/(1-J21)</f>
        <v>96.045197740112997</v>
      </c>
      <c r="K33" s="11"/>
      <c r="L33" s="11">
        <f>L17/(1-L21)</f>
        <v>101.12359550561797</v>
      </c>
    </row>
    <row r="34" spans="1:25" ht="18" x14ac:dyDescent="0.2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8" x14ac:dyDescent="0.2">
      <c r="A35" s="27" t="s">
        <v>0</v>
      </c>
      <c r="B35" s="10">
        <f>B33-B17</f>
        <v>22.857142857142861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11.428571428571431</v>
      </c>
      <c r="I35" s="10"/>
      <c r="J35" s="10">
        <f t="shared" si="0"/>
        <v>11.045197740112997</v>
      </c>
      <c r="K35" s="10"/>
      <c r="L35" s="10">
        <f>L33-L17</f>
        <v>11.123595505617971</v>
      </c>
    </row>
    <row r="36" spans="1:25" ht="18" x14ac:dyDescent="0.2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8" x14ac:dyDescent="0.2">
      <c r="A37" s="27" t="s">
        <v>9</v>
      </c>
      <c r="B37" s="10">
        <f>(B17+B33)/2</f>
        <v>131.42857142857144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85.714285714285722</v>
      </c>
      <c r="I37" s="12"/>
      <c r="J37" s="13">
        <f>(J17+J33)/2</f>
        <v>90.522598870056498</v>
      </c>
      <c r="K37" s="13"/>
      <c r="L37" s="13">
        <f>(L17+L33)/2</f>
        <v>95.561797752808985</v>
      </c>
    </row>
    <row r="38" spans="1:25" ht="18" x14ac:dyDescent="0.2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8" x14ac:dyDescent="0.2">
      <c r="A39" s="27" t="s">
        <v>19</v>
      </c>
      <c r="B39" s="10">
        <f>B23*(B9*B9-B11*B11)</f>
        <v>12481.5</v>
      </c>
      <c r="C39" s="11"/>
      <c r="D39" s="11">
        <f>D23*(D9*D9-D11*D11)</f>
        <v>12481.5</v>
      </c>
      <c r="E39" s="11"/>
      <c r="F39" s="12">
        <f>F23*(F9*F9-F11*F11)</f>
        <v>23157.5</v>
      </c>
      <c r="G39" s="11"/>
      <c r="H39" s="12">
        <f>H23*(H9*H9-H11*H11)</f>
        <v>10048</v>
      </c>
      <c r="I39" s="12"/>
      <c r="J39" s="13">
        <f>J23*(J9*J9-J11*J11)</f>
        <v>12057.6</v>
      </c>
      <c r="K39" s="13"/>
      <c r="L39" s="13">
        <f>L23*(L9*L9-L11*L11)</f>
        <v>11052.800000000001</v>
      </c>
    </row>
    <row r="40" spans="1:25" ht="18" x14ac:dyDescent="0.2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8" x14ac:dyDescent="0.2">
      <c r="A41" s="27" t="s">
        <v>10</v>
      </c>
      <c r="B41" s="10">
        <f>B15*B39</f>
        <v>18722.25</v>
      </c>
      <c r="C41" s="11"/>
      <c r="D41" s="11">
        <f>D15*D39</f>
        <v>18722.25</v>
      </c>
      <c r="E41" s="11"/>
      <c r="F41" s="12">
        <f>F15*F39</f>
        <v>34736.25</v>
      </c>
      <c r="G41" s="11"/>
      <c r="H41" s="12">
        <f>H15*H39</f>
        <v>15072</v>
      </c>
      <c r="I41" s="12"/>
      <c r="J41" s="13">
        <f>J15*J39</f>
        <v>18086.400000000001</v>
      </c>
      <c r="K41" s="13"/>
      <c r="L41" s="13">
        <f>L15*L39</f>
        <v>16579.2</v>
      </c>
    </row>
    <row r="42" spans="1:25" ht="18" x14ac:dyDescent="0.2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8" x14ac:dyDescent="0.2">
      <c r="A43" s="27" t="s">
        <v>5</v>
      </c>
      <c r="B43" s="10">
        <f>B41/1.2</f>
        <v>15601.875</v>
      </c>
      <c r="C43" s="11"/>
      <c r="D43" s="11">
        <f t="shared" ref="D43:J43" si="1">D41/1.2</f>
        <v>15601.875</v>
      </c>
      <c r="E43" s="11"/>
      <c r="F43" s="12">
        <f t="shared" si="1"/>
        <v>28946.875</v>
      </c>
      <c r="G43" s="11"/>
      <c r="H43" s="12">
        <f t="shared" si="1"/>
        <v>12560</v>
      </c>
      <c r="I43" s="12"/>
      <c r="J43" s="13">
        <f t="shared" si="1"/>
        <v>15072.000000000002</v>
      </c>
      <c r="K43" s="13"/>
      <c r="L43" s="13">
        <f>L41/1.2</f>
        <v>13816.000000000002</v>
      </c>
    </row>
    <row r="44" spans="1:25" ht="18" x14ac:dyDescent="0.2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8" x14ac:dyDescent="0.2">
      <c r="A45" s="27" t="s">
        <v>4</v>
      </c>
      <c r="B45" s="10">
        <f>0.2*B43</f>
        <v>3120.375</v>
      </c>
      <c r="C45" s="11"/>
      <c r="D45" s="11">
        <f t="shared" ref="D45:J45" si="2">0.2*D43</f>
        <v>3120.375</v>
      </c>
      <c r="E45" s="11"/>
      <c r="F45" s="12">
        <f t="shared" si="2"/>
        <v>5789.375</v>
      </c>
      <c r="G45" s="11"/>
      <c r="H45" s="12">
        <f t="shared" si="2"/>
        <v>2512</v>
      </c>
      <c r="I45" s="12"/>
      <c r="J45" s="13">
        <f t="shared" si="2"/>
        <v>3014.4000000000005</v>
      </c>
      <c r="K45" s="13"/>
      <c r="L45" s="13">
        <f>0.2*L43</f>
        <v>2763.2000000000007</v>
      </c>
    </row>
    <row r="46" spans="1:25" ht="18" x14ac:dyDescent="0.2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8" x14ac:dyDescent="0.2">
      <c r="A47" s="37" t="s">
        <v>25</v>
      </c>
      <c r="B47" s="10">
        <f>1000*B31/(B43*B13*B37)</f>
        <v>1.5057067067956227</v>
      </c>
      <c r="C47" s="11"/>
      <c r="D47" s="11">
        <f>1000*D31/(D43*D13*D37)</f>
        <v>3.206851403234682</v>
      </c>
      <c r="E47" s="11"/>
      <c r="F47" s="12">
        <f>1000*F31/(F43*F13*F37)</f>
        <v>7.7301000810419129</v>
      </c>
      <c r="G47" s="11"/>
      <c r="H47" s="12">
        <f>1000*H31/(H43*H13*H37)</f>
        <v>4.4527932590233537</v>
      </c>
      <c r="I47" s="12"/>
      <c r="J47" s="13">
        <f>1000*J31/(J43*J13*J37)</f>
        <v>3.6326646296559475</v>
      </c>
      <c r="K47" s="13"/>
      <c r="L47" s="13">
        <f>1000*L31/(L43*L13*L37)</f>
        <v>5.1551494624743031</v>
      </c>
      <c r="O47">
        <f>(1.2*1000*B27*B25*B7*(1-B21))/(B13*B15*B23*(B9*B9-B11*B11)*(1-0.5*B21)*B17)</f>
        <v>1.5057067067956229</v>
      </c>
      <c r="Q47">
        <f>(1.2*1000*D27*D25*D7*(1-D21))/(D13*D15*D23*(D9*D9-D11*D11)*(1-0.5*D21)*D17)</f>
        <v>3.2068514032346824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4.4527932590233545</v>
      </c>
      <c r="W47">
        <f t="shared" ref="W47:Y47" si="3">(1.2*1000*J27*J25*J7*(1-J21))/(J13*J15*J23*(J9*J9-J11*J11)*(1-0.5*J21)*J17)</f>
        <v>3.6326646296559479</v>
      </c>
      <c r="Y47">
        <f t="shared" si="3"/>
        <v>5.1551494624743031</v>
      </c>
    </row>
    <row r="48" spans="1:25" ht="18" x14ac:dyDescent="0.2">
      <c r="A48" s="38"/>
      <c r="B48" s="16">
        <v>2</v>
      </c>
      <c r="C48" s="17"/>
      <c r="D48" s="17">
        <v>4</v>
      </c>
      <c r="E48" s="17"/>
      <c r="F48" s="18">
        <v>8</v>
      </c>
      <c r="G48" s="17"/>
      <c r="H48" s="18">
        <v>4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1.033749787703804</v>
      </c>
      <c r="C49" s="21"/>
      <c r="D49" s="21">
        <f>D43/(2*D23*D37*D35*(1-D19))</f>
        <v>1.8387643914473673</v>
      </c>
      <c r="E49" s="21"/>
      <c r="F49" s="22">
        <f>F43/(2*F23*F37*F35*(1-F19))</f>
        <v>2.0552210160916555</v>
      </c>
      <c r="G49" s="21"/>
      <c r="H49" s="22">
        <f>H43/(2*H23*H37*H35*(1-H19))</f>
        <v>2.5520833333333326</v>
      </c>
      <c r="I49" s="22"/>
      <c r="J49" s="23">
        <f>J43/(2*J23*J37*J35*(1-J19))</f>
        <v>3.0004800634018891</v>
      </c>
      <c r="K49" s="23"/>
      <c r="L49" s="23">
        <f>L43/(2*L23*L37*L35*(1-L19))</f>
        <v>2.5870403030896876</v>
      </c>
      <c r="O49">
        <f>((B9*B9-B11*B11)*B15*((1-B21)^2))/(1.2*2*(1-0.5*B21)*B17*B17*B21*(1-B19))</f>
        <v>1.033749787703804</v>
      </c>
      <c r="Q49">
        <f>((D9*D9-D11*D11)*D15*((1-D21)^2))/(1.2*2*(1-0.5*D21)*D17*D17*D21*(1-D19))</f>
        <v>1.8387643914473688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2.5520833333333335</v>
      </c>
      <c r="W49">
        <f t="shared" ref="W49:Y49" si="4">((J9*J9-J11*J11)*J15*((1-J21)^2))/(1.2*2*(1-0.5*J21)*J17*J17*J21*(1-J19))</f>
        <v>3.0004800634018891</v>
      </c>
      <c r="Y49">
        <f t="shared" si="4"/>
        <v>2.5870403030896862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2026-09-15T23:40:34Z</dcterms:modified>
</cp:coreProperties>
</file>