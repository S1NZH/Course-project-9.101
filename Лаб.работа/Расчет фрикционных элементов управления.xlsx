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826D98A6-4617-4AC8-8F57-22263B3A22F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<sst xmlns="http://schemas.openxmlformats.org/spreadsheetml/2006/main" count="35" uniqueCount="35">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</sst>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zoomScale="55" zoomScaleNormal="55" workbookViewId="0">
      <selection activeCell="L21" sqref="L21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5"/>
      <c r="B4" s="36"/>
      <c r="C4" s="36"/>
      <c r="D4" s="36"/>
      <c r="E4" s="36"/>
      <c r="F4" s="36"/>
      <c r="G4" s="36"/>
      <c r="H4" s="36"/>
      <c r="I4" s="36"/>
      <c r="J4" s="36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39"/>
      <c r="C8" s="40"/>
      <c r="D8" s="40"/>
      <c r="E8" s="40"/>
      <c r="F8" s="40"/>
      <c r="G8" s="40"/>
      <c r="H8" s="40"/>
      <c r="I8" s="40"/>
      <c r="J8" s="40"/>
      <c r="K8" s="40"/>
      <c r="L8" s="41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140</v>
      </c>
      <c r="G9" s="9"/>
      <c r="H9" s="9">
        <v>97</v>
      </c>
      <c r="I9" s="9"/>
      <c r="J9" s="9">
        <v>55</v>
      </c>
      <c r="K9" s="9"/>
      <c r="L9" s="9">
        <v>64</v>
      </c>
    </row>
    <row r="10" spans="1:14" ht="18" x14ac:dyDescent="0.2">
      <c r="A10" s="24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1"/>
      <c r="N10" t="s">
        <v>28</v>
      </c>
    </row>
    <row r="11" spans="1:14" ht="18" x14ac:dyDescent="0.2">
      <c r="A11" s="24" t="s">
        <v>3</v>
      </c>
      <c r="B11" s="31">
        <v>120</v>
      </c>
      <c r="C11" s="9"/>
      <c r="D11" s="31">
        <v>120</v>
      </c>
      <c r="E11" s="9"/>
      <c r="F11" s="9">
        <v>100</v>
      </c>
      <c r="G11" s="9"/>
      <c r="H11" s="9">
        <v>80</v>
      </c>
      <c r="I11" s="9"/>
      <c r="J11" s="9">
        <v>22.5</v>
      </c>
      <c r="K11" s="9"/>
      <c r="L11" s="9">
        <v>24</v>
      </c>
    </row>
    <row r="12" spans="1:14" ht="18" x14ac:dyDescent="0.2">
      <c r="A12" s="24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1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0.13</v>
      </c>
      <c r="K13" s="9"/>
      <c r="L13" s="9">
        <v>0.16</v>
      </c>
      <c r="N13" t="s">
        <v>34</v>
      </c>
    </row>
    <row r="14" spans="1:14" ht="18" x14ac:dyDescent="0.2">
      <c r="A14" s="24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1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1"/>
    </row>
    <row r="17" spans="1:14" ht="18" x14ac:dyDescent="0.2">
      <c r="A17" s="24" t="s">
        <v>1</v>
      </c>
      <c r="B17" s="31">
        <v>110</v>
      </c>
      <c r="C17" s="9"/>
      <c r="D17" s="9">
        <v>110</v>
      </c>
      <c r="E17" s="9"/>
      <c r="F17" s="9">
        <v>102</v>
      </c>
      <c r="G17" s="9"/>
      <c r="H17" s="9">
        <v>80</v>
      </c>
      <c r="I17" s="9"/>
      <c r="J17" s="9">
        <v>73</v>
      </c>
      <c r="K17" s="9"/>
      <c r="L17" s="9">
        <v>80</v>
      </c>
      <c r="N17" t="s">
        <v>31</v>
      </c>
    </row>
    <row r="18" spans="1:14" ht="18" x14ac:dyDescent="0.2">
      <c r="A18" s="24"/>
      <c r="B18" s="42"/>
      <c r="C18" s="43"/>
      <c r="D18" s="43"/>
      <c r="E18" s="43"/>
      <c r="F18" s="43"/>
      <c r="G18" s="43"/>
      <c r="H18" s="43"/>
      <c r="I18" s="43"/>
      <c r="J18" s="43"/>
      <c r="K18" s="43"/>
      <c r="L18" s="44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1"/>
    </row>
    <row r="21" spans="1:14" ht="18" x14ac:dyDescent="0.2">
      <c r="A21" s="25" t="s">
        <v>22</v>
      </c>
      <c r="B21" s="32">
        <v>0.1</v>
      </c>
      <c r="C21" s="32"/>
      <c r="D21" s="32">
        <v>0.1</v>
      </c>
      <c r="E21" s="32"/>
      <c r="F21" s="32">
        <v>0.2</v>
      </c>
      <c r="G21" s="32"/>
      <c r="H21" s="32">
        <v>0.1</v>
      </c>
      <c r="I21" s="32"/>
      <c r="J21" s="32">
        <v>0.1</v>
      </c>
      <c r="K21" s="32"/>
      <c r="L21" s="32">
        <v>0.12</v>
      </c>
      <c r="N21" t="s">
        <v>33</v>
      </c>
    </row>
    <row r="22" spans="1:14" ht="18" x14ac:dyDescent="0.2">
      <c r="A22" s="24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4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5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50"/>
    </row>
    <row r="27" spans="1:14" ht="18" x14ac:dyDescent="0.2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8" x14ac:dyDescent="0.2">
      <c r="A28" s="26"/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8" x14ac:dyDescent="0.2">
      <c r="A30" s="27"/>
      <c r="B30" s="51"/>
      <c r="C30" s="52"/>
      <c r="D30" s="52"/>
      <c r="E30" s="52"/>
      <c r="F30" s="52"/>
      <c r="G30" s="52"/>
      <c r="H30" s="52"/>
      <c r="I30" s="52"/>
      <c r="J30" s="52"/>
      <c r="K30" s="52"/>
      <c r="L30" s="53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8" x14ac:dyDescent="0.2">
      <c r="A32" s="27"/>
      <c r="B32" s="51"/>
      <c r="C32" s="52"/>
      <c r="D32" s="52"/>
      <c r="E32" s="52"/>
      <c r="F32" s="52"/>
      <c r="G32" s="52"/>
      <c r="H32" s="52"/>
      <c r="I32" s="52"/>
      <c r="J32" s="52"/>
      <c r="K32" s="52"/>
      <c r="L32" s="53"/>
    </row>
    <row r="33" spans="1:25" ht="18" x14ac:dyDescent="0.2">
      <c r="A33" s="27" t="s">
        <v>6</v>
      </c>
      <c r="B33" s="11">
        <f>B17/(1-B21)</f>
        <v>122.22222222222221</v>
      </c>
      <c r="C33" s="11"/>
      <c r="D33" s="11">
        <f>D17/(1-D21)</f>
        <v>122.22222222222221</v>
      </c>
      <c r="E33" s="11"/>
      <c r="F33" s="11">
        <f>F17/(1-F21)</f>
        <v>127.5</v>
      </c>
      <c r="G33" s="11"/>
      <c r="H33" s="11">
        <f>H17/(1-H21)</f>
        <v>88.888888888888886</v>
      </c>
      <c r="I33" s="11"/>
      <c r="J33" s="11">
        <f>J17/(1-J21)</f>
        <v>81.111111111111114</v>
      </c>
      <c r="K33" s="11"/>
      <c r="L33" s="11">
        <f>L17/(1-L21)</f>
        <v>90.909090909090907</v>
      </c>
    </row>
    <row r="34" spans="1:25" ht="18" x14ac:dyDescent="0.2">
      <c r="A34" s="27"/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3"/>
    </row>
    <row r="35" spans="1:25" ht="18" x14ac:dyDescent="0.2">
      <c r="A35" s="27" t="s">
        <v>0</v>
      </c>
      <c r="B35" s="10">
        <f>B33-B17</f>
        <v>12.222222222222214</v>
      </c>
      <c r="C35" s="10"/>
      <c r="D35" s="10">
        <f t="shared" ref="D35:J35" si="0">D33-D17</f>
        <v>12.222222222222214</v>
      </c>
      <c r="E35" s="10"/>
      <c r="F35" s="10">
        <f t="shared" si="0"/>
        <v>25.5</v>
      </c>
      <c r="G35" s="10"/>
      <c r="H35" s="10">
        <f t="shared" si="0"/>
        <v>8.8888888888888857</v>
      </c>
      <c r="I35" s="10"/>
      <c r="J35" s="10">
        <f t="shared" si="0"/>
        <v>8.1111111111111143</v>
      </c>
      <c r="K35" s="10"/>
      <c r="L35" s="10">
        <f>L33-L17</f>
        <v>10.909090909090907</v>
      </c>
    </row>
    <row r="36" spans="1:25" ht="18" x14ac:dyDescent="0.2">
      <c r="A36" s="2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25" ht="18" x14ac:dyDescent="0.2">
      <c r="A37" s="27" t="s">
        <v>9</v>
      </c>
      <c r="B37" s="10">
        <f>(B17+B33)/2</f>
        <v>116.11111111111111</v>
      </c>
      <c r="C37" s="11"/>
      <c r="D37" s="11">
        <f>(D17+D33)/2</f>
        <v>116.11111111111111</v>
      </c>
      <c r="E37" s="11"/>
      <c r="F37" s="12">
        <f>(F17+F33)/2</f>
        <v>114.75</v>
      </c>
      <c r="G37" s="11"/>
      <c r="H37" s="12">
        <f>(H17+H33)/2</f>
        <v>84.444444444444443</v>
      </c>
      <c r="I37" s="12"/>
      <c r="J37" s="13">
        <f>(J17+J33)/2</f>
        <v>77.055555555555557</v>
      </c>
      <c r="K37" s="13"/>
      <c r="L37" s="13">
        <f>(L17+L33)/2</f>
        <v>85.454545454545453</v>
      </c>
    </row>
    <row r="38" spans="1:25" ht="18" x14ac:dyDescent="0.2">
      <c r="A38" s="29"/>
      <c r="B38" s="51"/>
      <c r="C38" s="52"/>
      <c r="D38" s="52"/>
      <c r="E38" s="52"/>
      <c r="F38" s="52"/>
      <c r="G38" s="52"/>
      <c r="H38" s="52"/>
      <c r="I38" s="52"/>
      <c r="J38" s="52"/>
      <c r="K38" s="52"/>
      <c r="L38" s="53"/>
    </row>
    <row r="39" spans="1:25" ht="18" x14ac:dyDescent="0.2">
      <c r="A39" s="27" t="s">
        <v>19</v>
      </c>
      <c r="B39" s="10">
        <f>B23*(B9*B9-B11*B11)</f>
        <v>16328</v>
      </c>
      <c r="C39" s="11"/>
      <c r="D39" s="11">
        <f>D23*(D9*D9-D11*D11)</f>
        <v>16328</v>
      </c>
      <c r="E39" s="11"/>
      <c r="F39" s="12">
        <f>F23*(F9*F9-F11*F11)</f>
        <v>30144</v>
      </c>
      <c r="G39" s="11"/>
      <c r="H39" s="12">
        <f>H23*(H9*H9-H11*H11)</f>
        <v>9448.26</v>
      </c>
      <c r="I39" s="12"/>
      <c r="J39" s="13">
        <f>J23*(J9*J9-J11*J11)</f>
        <v>7908.875</v>
      </c>
      <c r="K39" s="13"/>
      <c r="L39" s="13">
        <f>L23*(L9*L9-L11*L11)</f>
        <v>11052.800000000001</v>
      </c>
    </row>
    <row r="40" spans="1:25" ht="18" x14ac:dyDescent="0.2">
      <c r="A40" s="27"/>
      <c r="B40" s="51"/>
      <c r="C40" s="52"/>
      <c r="D40" s="52"/>
      <c r="E40" s="52"/>
      <c r="F40" s="52"/>
      <c r="G40" s="52"/>
      <c r="H40" s="52"/>
      <c r="I40" s="52"/>
      <c r="J40" s="52"/>
      <c r="K40" s="52"/>
      <c r="L40" s="53"/>
    </row>
    <row r="41" spans="1:25" ht="18" x14ac:dyDescent="0.2">
      <c r="A41" s="27" t="s">
        <v>10</v>
      </c>
      <c r="B41" s="10">
        <f>B15*B39</f>
        <v>24492</v>
      </c>
      <c r="C41" s="11"/>
      <c r="D41" s="11">
        <f>D15*D39</f>
        <v>24492</v>
      </c>
      <c r="E41" s="11"/>
      <c r="F41" s="12">
        <f>F15*F39</f>
        <v>45216</v>
      </c>
      <c r="G41" s="11"/>
      <c r="H41" s="12">
        <f>H15*H39</f>
        <v>14172.39</v>
      </c>
      <c r="I41" s="12"/>
      <c r="J41" s="13">
        <f>J15*J39</f>
        <v>11863.3125</v>
      </c>
      <c r="K41" s="13"/>
      <c r="L41" s="13">
        <f>L15*L39</f>
        <v>16579.2</v>
      </c>
    </row>
    <row r="42" spans="1:25" ht="18" x14ac:dyDescent="0.2">
      <c r="A42" s="27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3"/>
    </row>
    <row r="43" spans="1:25" ht="18" x14ac:dyDescent="0.2">
      <c r="A43" s="27" t="s">
        <v>5</v>
      </c>
      <c r="B43" s="10">
        <f>B41/1.2</f>
        <v>20410</v>
      </c>
      <c r="C43" s="11"/>
      <c r="D43" s="11">
        <f t="shared" ref="D43:J43" si="1">D41/1.2</f>
        <v>20410</v>
      </c>
      <c r="E43" s="11"/>
      <c r="F43" s="12">
        <f t="shared" si="1"/>
        <v>37680</v>
      </c>
      <c r="G43" s="11"/>
      <c r="H43" s="12">
        <f t="shared" si="1"/>
        <v>11810.325000000001</v>
      </c>
      <c r="I43" s="12"/>
      <c r="J43" s="13">
        <f t="shared" si="1"/>
        <v>9886.09375</v>
      </c>
      <c r="K43" s="13"/>
      <c r="L43" s="13">
        <f>L41/1.2</f>
        <v>13816.000000000002</v>
      </c>
    </row>
    <row r="44" spans="1:25" ht="18" x14ac:dyDescent="0.2">
      <c r="A44" s="27"/>
      <c r="B44" s="51"/>
      <c r="C44" s="52"/>
      <c r="D44" s="52"/>
      <c r="E44" s="52"/>
      <c r="F44" s="52"/>
      <c r="G44" s="52"/>
      <c r="H44" s="52"/>
      <c r="I44" s="52"/>
      <c r="J44" s="52"/>
      <c r="K44" s="52"/>
      <c r="L44" s="53"/>
    </row>
    <row r="45" spans="1:25" ht="18" x14ac:dyDescent="0.2">
      <c r="A45" s="27" t="s">
        <v>4</v>
      </c>
      <c r="B45" s="10">
        <f>0.2*B43</f>
        <v>4082</v>
      </c>
      <c r="C45" s="11"/>
      <c r="D45" s="11">
        <f t="shared" ref="D45:J45" si="2">0.2*D43</f>
        <v>4082</v>
      </c>
      <c r="E45" s="11"/>
      <c r="F45" s="12">
        <f t="shared" si="2"/>
        <v>7536</v>
      </c>
      <c r="G45" s="11"/>
      <c r="H45" s="12">
        <f t="shared" si="2"/>
        <v>2362.0650000000001</v>
      </c>
      <c r="I45" s="12"/>
      <c r="J45" s="13">
        <f t="shared" si="2"/>
        <v>1977.21875</v>
      </c>
      <c r="K45" s="13"/>
      <c r="L45" s="13">
        <f>0.2*L43</f>
        <v>2763.2000000000007</v>
      </c>
    </row>
    <row r="46" spans="1:25" ht="18" x14ac:dyDescent="0.2">
      <c r="A46" s="27"/>
      <c r="B46" s="51"/>
      <c r="C46" s="52"/>
      <c r="D46" s="52"/>
      <c r="E46" s="52"/>
      <c r="F46" s="52"/>
      <c r="G46" s="52"/>
      <c r="H46" s="52"/>
      <c r="I46" s="52"/>
      <c r="J46" s="52"/>
      <c r="K46" s="52"/>
      <c r="L46" s="53"/>
    </row>
    <row r="47" spans="1:25" ht="18" x14ac:dyDescent="0.2">
      <c r="A47" s="37" t="s">
        <v>25</v>
      </c>
      <c r="B47" s="10">
        <f>1000*B31/(B43*B13*B37)</f>
        <v>1.3028372900984366</v>
      </c>
      <c r="C47" s="11"/>
      <c r="D47" s="11">
        <f>1000*D31/(D43*D13*D37)</f>
        <v>1.5771188248560024</v>
      </c>
      <c r="E47" s="11"/>
      <c r="F47" s="12">
        <f>1000*F31/(F43*F13*F37)</f>
        <v>7.8349413013613081</v>
      </c>
      <c r="G47" s="11"/>
      <c r="H47" s="12">
        <f>1000*H31/(H43*H13*H37)</f>
        <v>4.8066494448936128</v>
      </c>
      <c r="I47" s="12"/>
      <c r="J47" s="13">
        <f>1000*J31/(J43*J13*J37)</f>
        <v>3.7412452587618859</v>
      </c>
      <c r="K47" s="13"/>
      <c r="L47" s="13">
        <f>1000*L31/(L43*L13*L37)</f>
        <v>5.7648817590459407</v>
      </c>
      <c r="O47">
        <f>(1.2*1000*B27*B25*B7*(1-B21))/(B13*B15*B23*(B9*B9-B11*B11)*(1-0.5*B21)*B17)</f>
        <v>1.3028372900984369</v>
      </c>
      <c r="Q47">
        <f>(1.2*1000*D27*D25*D7*(1-D21))/(D13*D15*D23*(D9*D9-D11*D11)*(1-0.5*D21)*D17)</f>
        <v>1.5771188248560022</v>
      </c>
      <c r="S47">
        <f>(1.2*1000*F27*F25*F7*(1-F21))/(F13*F15*F23*(F9*F9-F11*F11)*(1-0.5*F21)*F17)</f>
        <v>7.8349413013613098</v>
      </c>
      <c r="U47">
        <f>(1.2*1000*H27*H25*H7*(1-H21))/(H13*H15*H23*(H9*H9-H11*H11)*(1-0.5*H21)*H17)</f>
        <v>4.8066494448936128</v>
      </c>
      <c r="W47">
        <f t="shared" ref="W47:Y47" si="3">(1.2*1000*J27*J25*J7*(1-J21))/(J13*J15*J23*(J9*J9-J11*J11)*(1-0.5*J21)*J17)</f>
        <v>3.7412452587618863</v>
      </c>
      <c r="Y47">
        <f t="shared" si="3"/>
        <v>5.7648817590459416</v>
      </c>
    </row>
    <row r="48" spans="1:25" ht="18" x14ac:dyDescent="0.2">
      <c r="A48" s="38"/>
      <c r="B48" s="16">
        <v>2</v>
      </c>
      <c r="C48" s="17"/>
      <c r="D48" s="17">
        <v>2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2.8626576772509802</v>
      </c>
      <c r="C49" s="21"/>
      <c r="D49" s="21">
        <f>D43/(2*D23*D37*D35*(1-D19))</f>
        <v>2.8626576772509802</v>
      </c>
      <c r="E49" s="21"/>
      <c r="F49" s="22">
        <f>F43/(2*F23*F37*F35*(1-F19))</f>
        <v>3.154605230729798</v>
      </c>
      <c r="G49" s="21"/>
      <c r="H49" s="22">
        <f>H43/(2*H23*H37*H35*(1-H19))</f>
        <v>3.1317973889802642</v>
      </c>
      <c r="I49" s="22"/>
      <c r="J49" s="23">
        <f>J43/(2*J23*J37*J35*(1-J19))</f>
        <v>3.1484064046281013</v>
      </c>
      <c r="K49" s="23"/>
      <c r="L49" s="23">
        <f>L43/(2*L23*L37*L35*(1-L19))</f>
        <v>2.9499113475177317</v>
      </c>
      <c r="O49">
        <f>((B9*B9-B11*B11)*B15*((1-B21)^2))/(1.2*2*(1-0.5*B21)*B17*B17*B21*(1-B19))</f>
        <v>2.8626576772509789</v>
      </c>
      <c r="Q49">
        <f>((D9*D9-D11*D11)*D15*((1-D21)^2))/(1.2*2*(1-0.5*D21)*D17*D17*D21*(1-D19))</f>
        <v>2.8626576772509789</v>
      </c>
      <c r="S49">
        <f>((F9*F9-F11*F11)*F15*((1-F21)^2))/(1.2*2*(1-0.5*F21)*F17*F17*F21*(1-F19))</f>
        <v>3.1546052307297976</v>
      </c>
      <c r="U49">
        <f>((H9*H9-H11*H11)*H15*((1-H21)^2))/(1.2*2*(1-0.5*H21)*H17*H17*H21*(1-H19))</f>
        <v>3.1317973889802637</v>
      </c>
      <c r="W49">
        <f t="shared" ref="W49:Y49" si="4">((J9*J9-J11*J11)*J15*((1-J21)^2))/(1.2*2*(1-0.5*J21)*J17*J17*J21*(1-J19))</f>
        <v>3.1484064046281026</v>
      </c>
      <c r="Y49">
        <f t="shared" si="4"/>
        <v>2.9499113475177303</v>
      </c>
    </row>
  </sheetData>
  <mergeCells count="22">
    <mergeCell ref="B46:L46"/>
    <mergeCell ref="B36:L36"/>
    <mergeCell ref="B38:L38"/>
    <mergeCell ref="B40:L40"/>
    <mergeCell ref="B42:L42"/>
    <mergeCell ref="B44:L44"/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2026-05-04T20:10:55Z</dcterms:modified>
</cp:coreProperties>
</file>