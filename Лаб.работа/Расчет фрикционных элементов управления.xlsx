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1DEE5486-F09E-4D96-ADE8-A21AA5A717B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<sst xmlns="http://schemas.openxmlformats.org/spreadsheetml/2006/main" count="35" uniqueCount="35">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</sst>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zoomScale="70" zoomScaleNormal="70" workbookViewId="0">
      <selection activeCell="D9" sqref="D9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9"/>
      <c r="B4" s="40"/>
      <c r="C4" s="40"/>
      <c r="D4" s="40"/>
      <c r="E4" s="40"/>
      <c r="F4" s="40"/>
      <c r="G4" s="40"/>
      <c r="H4" s="40"/>
      <c r="I4" s="40"/>
      <c r="J4" s="40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43"/>
      <c r="C8" s="44"/>
      <c r="D8" s="44"/>
      <c r="E8" s="44"/>
      <c r="F8" s="44"/>
      <c r="G8" s="44"/>
      <c r="H8" s="44"/>
      <c r="I8" s="44"/>
      <c r="J8" s="44"/>
      <c r="K8" s="44"/>
      <c r="L8" s="45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97</v>
      </c>
      <c r="I9" s="9"/>
      <c r="J9" s="9">
        <v>55</v>
      </c>
      <c r="K9" s="9"/>
      <c r="L9" s="9">
        <v>64</v>
      </c>
    </row>
    <row r="10" spans="1:14" ht="18" x14ac:dyDescent="0.2">
      <c r="A10" s="24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5"/>
      <c r="N10" t="s">
        <v>28</v>
      </c>
    </row>
    <row r="11" spans="1:14" ht="18" x14ac:dyDescent="0.2">
      <c r="A11" s="24" t="s">
        <v>3</v>
      </c>
      <c r="B11" s="31">
        <v>120</v>
      </c>
      <c r="C11" s="9"/>
      <c r="D11" s="31">
        <v>120</v>
      </c>
      <c r="E11" s="9"/>
      <c r="F11" s="9">
        <v>135</v>
      </c>
      <c r="G11" s="9"/>
      <c r="H11" s="9">
        <v>80</v>
      </c>
      <c r="I11" s="9"/>
      <c r="J11" s="9">
        <v>24</v>
      </c>
      <c r="K11" s="9"/>
      <c r="L11" s="9">
        <v>24</v>
      </c>
    </row>
    <row r="12" spans="1:14" ht="18" x14ac:dyDescent="0.2">
      <c r="A12" s="24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5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43"/>
      <c r="C14" s="44"/>
      <c r="D14" s="44"/>
      <c r="E14" s="44"/>
      <c r="F14" s="44"/>
      <c r="G14" s="44"/>
      <c r="H14" s="44"/>
      <c r="I14" s="44"/>
      <c r="J14" s="44"/>
      <c r="K14" s="44"/>
      <c r="L14" s="45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43"/>
      <c r="C16" s="44"/>
      <c r="D16" s="44"/>
      <c r="E16" s="44"/>
      <c r="F16" s="44"/>
      <c r="G16" s="44"/>
      <c r="H16" s="44"/>
      <c r="I16" s="44"/>
      <c r="J16" s="44"/>
      <c r="K16" s="44"/>
      <c r="L16" s="45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75</v>
      </c>
      <c r="K17" s="9"/>
      <c r="L17" s="9">
        <v>90</v>
      </c>
      <c r="N17" t="s">
        <v>31</v>
      </c>
    </row>
    <row r="18" spans="1:14" ht="18" x14ac:dyDescent="0.2">
      <c r="A18" s="24"/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8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43"/>
      <c r="C20" s="44"/>
      <c r="D20" s="44"/>
      <c r="E20" s="44"/>
      <c r="F20" s="44"/>
      <c r="G20" s="44"/>
      <c r="H20" s="44"/>
      <c r="I20" s="44"/>
      <c r="J20" s="44"/>
      <c r="K20" s="44"/>
      <c r="L20" s="45"/>
    </row>
    <row r="21" spans="1:14" ht="18" x14ac:dyDescent="0.2">
      <c r="A21" s="25" t="s">
        <v>22</v>
      </c>
      <c r="B21" s="32">
        <v>0.1</v>
      </c>
      <c r="C21" s="32"/>
      <c r="D21" s="32">
        <v>0.1</v>
      </c>
      <c r="E21" s="32"/>
      <c r="F21" s="32">
        <v>0.14000000000000001</v>
      </c>
      <c r="G21" s="32"/>
      <c r="H21" s="32">
        <v>0.1</v>
      </c>
      <c r="I21" s="32"/>
      <c r="J21" s="32">
        <v>0.13</v>
      </c>
      <c r="K21" s="32"/>
      <c r="L21" s="32">
        <v>0.12</v>
      </c>
      <c r="N21" t="s">
        <v>33</v>
      </c>
    </row>
    <row r="22" spans="1:14" ht="18" x14ac:dyDescent="0.2">
      <c r="A22" s="24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8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9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52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4" ht="18" x14ac:dyDescent="0.2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8" x14ac:dyDescent="0.2">
      <c r="A28" s="2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8" x14ac:dyDescent="0.2">
      <c r="A30" s="27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7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8" x14ac:dyDescent="0.2">
      <c r="A32" s="27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7"/>
    </row>
    <row r="33" spans="1:25" ht="18" x14ac:dyDescent="0.2">
      <c r="A33" s="27" t="s">
        <v>6</v>
      </c>
      <c r="B33" s="11">
        <f>B17/(1-B21)</f>
        <v>133.33333333333334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88.888888888888886</v>
      </c>
      <c r="I33" s="11"/>
      <c r="J33" s="11">
        <f>J17/(1-J21)</f>
        <v>86.206896551724142</v>
      </c>
      <c r="K33" s="11"/>
      <c r="L33" s="11">
        <f>L17/(1-L21)</f>
        <v>102.27272727272727</v>
      </c>
    </row>
    <row r="34" spans="1:25" ht="18" x14ac:dyDescent="0.2">
      <c r="A34" s="27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7"/>
    </row>
    <row r="35" spans="1:25" ht="18" x14ac:dyDescent="0.2">
      <c r="A35" s="27" t="s">
        <v>0</v>
      </c>
      <c r="B35" s="10">
        <f>B33-B17</f>
        <v>13.333333333333343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8.8888888888888857</v>
      </c>
      <c r="I35" s="10"/>
      <c r="J35" s="10">
        <f t="shared" si="0"/>
        <v>11.206896551724142</v>
      </c>
      <c r="K35" s="10"/>
      <c r="L35" s="10">
        <f>L33-L17</f>
        <v>12.272727272727266</v>
      </c>
    </row>
    <row r="36" spans="1:25" ht="18" x14ac:dyDescent="0.2">
      <c r="A36" s="2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25" ht="18" x14ac:dyDescent="0.2">
      <c r="A37" s="27" t="s">
        <v>9</v>
      </c>
      <c r="B37" s="10">
        <f>(B17+B33)/2</f>
        <v>126.66666666666667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84.444444444444443</v>
      </c>
      <c r="I37" s="12"/>
      <c r="J37" s="13">
        <f>(J17+J33)/2</f>
        <v>80.603448275862064</v>
      </c>
      <c r="K37" s="13"/>
      <c r="L37" s="13">
        <f>(L17+L33)/2</f>
        <v>96.136363636363626</v>
      </c>
    </row>
    <row r="38" spans="1:25" ht="18" x14ac:dyDescent="0.2">
      <c r="A38" s="29"/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7"/>
    </row>
    <row r="39" spans="1:25" ht="18" x14ac:dyDescent="0.2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23157.5</v>
      </c>
      <c r="G39" s="11"/>
      <c r="H39" s="12">
        <f>H23*(H9*H9-H11*H11)</f>
        <v>9448.26</v>
      </c>
      <c r="I39" s="12"/>
      <c r="J39" s="13">
        <f>J23*(J9*J9-J11*J11)</f>
        <v>7689.8600000000006</v>
      </c>
      <c r="K39" s="13"/>
      <c r="L39" s="13">
        <f>L23*(L9*L9-L11*L11)</f>
        <v>11052.800000000001</v>
      </c>
    </row>
    <row r="40" spans="1:25" ht="18" x14ac:dyDescent="0.2">
      <c r="A40" s="27"/>
      <c r="B40" s="35"/>
      <c r="C40" s="36"/>
      <c r="D40" s="36"/>
      <c r="E40" s="36"/>
      <c r="F40" s="36"/>
      <c r="G40" s="36"/>
      <c r="H40" s="36"/>
      <c r="I40" s="36"/>
      <c r="J40" s="36"/>
      <c r="K40" s="36"/>
      <c r="L40" s="37"/>
    </row>
    <row r="41" spans="1:25" ht="18" x14ac:dyDescent="0.2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34736.25</v>
      </c>
      <c r="G41" s="11"/>
      <c r="H41" s="12">
        <f>H15*H39</f>
        <v>14172.39</v>
      </c>
      <c r="I41" s="12"/>
      <c r="J41" s="13">
        <f>J15*J39</f>
        <v>11534.79</v>
      </c>
      <c r="K41" s="13"/>
      <c r="L41" s="13">
        <f>L15*L39</f>
        <v>16579.2</v>
      </c>
    </row>
    <row r="42" spans="1:25" ht="18" x14ac:dyDescent="0.2">
      <c r="A42" s="27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7"/>
    </row>
    <row r="43" spans="1:25" ht="18" x14ac:dyDescent="0.2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28946.875</v>
      </c>
      <c r="G43" s="11"/>
      <c r="H43" s="12">
        <f t="shared" si="1"/>
        <v>11810.325000000001</v>
      </c>
      <c r="I43" s="12"/>
      <c r="J43" s="13">
        <f t="shared" si="1"/>
        <v>9612.3250000000007</v>
      </c>
      <c r="K43" s="13"/>
      <c r="L43" s="13">
        <f>L41/1.2</f>
        <v>13816.000000000002</v>
      </c>
    </row>
    <row r="44" spans="1:25" ht="18" x14ac:dyDescent="0.2">
      <c r="A44" s="27"/>
      <c r="B44" s="35"/>
      <c r="C44" s="36"/>
      <c r="D44" s="36"/>
      <c r="E44" s="36"/>
      <c r="F44" s="36"/>
      <c r="G44" s="36"/>
      <c r="H44" s="36"/>
      <c r="I44" s="36"/>
      <c r="J44" s="36"/>
      <c r="K44" s="36"/>
      <c r="L44" s="37"/>
    </row>
    <row r="45" spans="1:25" ht="18" x14ac:dyDescent="0.2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5789.375</v>
      </c>
      <c r="G45" s="11"/>
      <c r="H45" s="12">
        <f t="shared" si="2"/>
        <v>2362.0650000000001</v>
      </c>
      <c r="I45" s="12"/>
      <c r="J45" s="13">
        <f t="shared" si="2"/>
        <v>1922.4650000000001</v>
      </c>
      <c r="K45" s="13"/>
      <c r="L45" s="13">
        <f>0.2*L43</f>
        <v>2763.2000000000007</v>
      </c>
    </row>
    <row r="46" spans="1:25" ht="18" x14ac:dyDescent="0.2">
      <c r="A46" s="27"/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7"/>
    </row>
    <row r="47" spans="1:25" ht="18" x14ac:dyDescent="0.2">
      <c r="A47" s="41" t="s">
        <v>25</v>
      </c>
      <c r="B47" s="10">
        <f>1000*B31/(B43*B13*B37)</f>
        <v>1.1942675159235669</v>
      </c>
      <c r="C47" s="11"/>
      <c r="D47" s="11">
        <f>1000*D31/(D43*D13*D37)</f>
        <v>1.4456922561180021</v>
      </c>
      <c r="E47" s="11"/>
      <c r="F47" s="12">
        <f>1000*F31/(F43*F13*F37)</f>
        <v>7.7301000810419129</v>
      </c>
      <c r="G47" s="11"/>
      <c r="H47" s="12">
        <f>1000*H31/(H43*H13*H37)</f>
        <v>4.8066494448936128</v>
      </c>
      <c r="I47" s="12"/>
      <c r="J47" s="13">
        <f>1000*J31/(J43*J13*J37)</f>
        <v>3.9849685517525262</v>
      </c>
      <c r="K47" s="13"/>
      <c r="L47" s="13">
        <f>1000*L31/(L43*L13*L37)</f>
        <v>5.1243393413741698</v>
      </c>
      <c r="O47">
        <f>(1.2*1000*B27*B25*B7*(1-B21))/(B13*B15*B23*(B9*B9-B11*B11)*(1-0.5*B21)*B17)</f>
        <v>1.1942675159235672</v>
      </c>
      <c r="Q47">
        <f>(1.2*1000*D27*D25*D7*(1-D21))/(D13*D15*D23*(D9*D9-D11*D11)*(1-0.5*D21)*D17)</f>
        <v>1.4456922561180023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3.9849685517525266</v>
      </c>
      <c r="Y47">
        <f t="shared" si="3"/>
        <v>5.1243393413741698</v>
      </c>
    </row>
    <row r="48" spans="1:25" ht="18" x14ac:dyDescent="0.2">
      <c r="A48" s="42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2.4054276315789456</v>
      </c>
      <c r="C49" s="21"/>
      <c r="D49" s="21">
        <f>D43/(2*D23*D37*D35*(1-D19))</f>
        <v>2.4054276315789456</v>
      </c>
      <c r="E49" s="21"/>
      <c r="F49" s="22">
        <f>F43/(2*F23*F37*F35*(1-F19))</f>
        <v>2.0552210160916555</v>
      </c>
      <c r="G49" s="21"/>
      <c r="H49" s="22">
        <f>H43/(2*H23*H37*H35*(1-H19))</f>
        <v>3.1317973889802642</v>
      </c>
      <c r="I49" s="22"/>
      <c r="J49" s="23">
        <f>J43/(2*J23*J37*J35*(1-J19))</f>
        <v>2.1180676676264905</v>
      </c>
      <c r="K49" s="23"/>
      <c r="L49" s="23">
        <f>L43/(2*L23*L37*L35*(1-L19))</f>
        <v>2.3307941511251218</v>
      </c>
      <c r="O49">
        <f>((B9*B9-B11*B11)*B15*((1-B21)^2))/(1.2*2*(1-0.5*B21)*B17*B17*B21*(1-B19))</f>
        <v>2.4054276315789478</v>
      </c>
      <c r="Q49">
        <f>((D9*D9-D11*D11)*D15*((1-D21)^2))/(1.2*2*(1-0.5*D21)*D17*D17*D21*(1-D19))</f>
        <v>2.4054276315789478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2.1180676676264913</v>
      </c>
      <c r="Y49">
        <f t="shared" si="4"/>
        <v>2.3307941511251205</v>
      </c>
    </row>
  </sheetData>
  <mergeCells count="22"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  <mergeCell ref="B46:L46"/>
    <mergeCell ref="B36:L36"/>
    <mergeCell ref="B38:L38"/>
    <mergeCell ref="B40:L40"/>
    <mergeCell ref="B42:L42"/>
    <mergeCell ref="B44:L4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2026-06-12T17:47:09Z</dcterms:modified>
</cp:coreProperties>
</file>