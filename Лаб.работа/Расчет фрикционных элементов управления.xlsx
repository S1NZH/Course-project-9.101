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bookViews>
    <workbookView xWindow="-105" yWindow="-105" windowWidth="23258" windowHeight="12578"/>
  </bookViews>
  <sheets>
    <sheet name="q" sheetId="8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<sst xmlns="http://schemas.openxmlformats.org/spreadsheetml/2006/main" count="35" uniqueCount="35">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</sst>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Y49"/>
  <sheetViews>
    <sheetView tabSelected="1" zoomScale="55" zoomScaleNormal="55" workbookViewId="0">
      <selection activeCell="F35" sqref="F35"/>
    </sheetView>
  </sheetViews>
  <sheetFormatPr defaultRowHeight="12.75" x14ac:dyDescent="0.35"/>
  <cols>
    <col min="1" max="1" width="116.796875" customWidth="1"/>
    <col min="2" max="2" width="14" customWidth="1"/>
    <col min="4" max="4" width="14.46484375" customWidth="1"/>
    <col min="6" max="6" width="17.46484375" customWidth="1"/>
    <col min="8" max="8" width="13.53125" customWidth="1"/>
    <col min="9" max="9" width="6" customWidth="1"/>
    <col min="10" max="10" width="16" customWidth="1"/>
    <col min="12" max="12" width="14.46484375" customWidth="1"/>
  </cols>
  <sheetData>
    <row r="4" spans="1:14" ht="17.649999999999999" x14ac:dyDescent="0.5">
      <c r="A4" s="39"/>
      <c r="B4" s="40"/>
      <c r="C4" s="40"/>
      <c r="D4" s="40"/>
      <c r="E4" s="40"/>
      <c r="F4" s="40"/>
      <c r="G4" s="40"/>
      <c r="H4" s="40"/>
      <c r="I4" s="40"/>
      <c r="J4" s="40"/>
    </row>
    <row r="5" spans="1:14" ht="13.5" thickBot="1" x14ac:dyDescent="0.45">
      <c r="B5" s="1"/>
      <c r="C5" s="1"/>
      <c r="D5" s="1"/>
      <c r="E5" s="1"/>
      <c r="F5" s="1"/>
      <c r="G5" s="1"/>
      <c r="H5" s="1"/>
      <c r="I5" s="1"/>
      <c r="J5" s="1"/>
    </row>
    <row r="6" spans="1:14" ht="25.15" x14ac:dyDescent="0.35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7.649999999999999" x14ac:dyDescent="0.35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7.649999999999999" x14ac:dyDescent="0.35">
      <c r="A8" s="24"/>
      <c r="B8" s="43"/>
      <c r="C8" s="44"/>
      <c r="D8" s="44"/>
      <c r="E8" s="44"/>
      <c r="F8" s="44"/>
      <c r="G8" s="44"/>
      <c r="H8" s="44"/>
      <c r="I8" s="44"/>
      <c r="J8" s="44"/>
      <c r="K8" s="44"/>
      <c r="L8" s="45"/>
    </row>
    <row r="9" spans="1:14" ht="17.649999999999999" x14ac:dyDescent="0.35">
      <c r="A9" s="24" t="s">
        <v>2</v>
      </c>
      <c r="B9" s="31">
        <v>140</v>
      </c>
      <c r="C9" s="9"/>
      <c r="D9" s="31">
        <v>140</v>
      </c>
      <c r="E9" s="9"/>
      <c r="F9" s="9">
        <v>140</v>
      </c>
      <c r="G9" s="9"/>
      <c r="H9" s="9">
        <v>97</v>
      </c>
      <c r="I9" s="9"/>
      <c r="J9" s="9">
        <v>55</v>
      </c>
      <c r="K9" s="9"/>
      <c r="L9" s="9">
        <v>59</v>
      </c>
    </row>
    <row r="10" spans="1:14" ht="17.649999999999999" x14ac:dyDescent="0.35">
      <c r="A10" s="24"/>
      <c r="B10" s="43"/>
      <c r="C10" s="44"/>
      <c r="D10" s="44"/>
      <c r="E10" s="44"/>
      <c r="F10" s="44"/>
      <c r="G10" s="44"/>
      <c r="H10" s="44"/>
      <c r="I10" s="44"/>
      <c r="J10" s="44"/>
      <c r="K10" s="44"/>
      <c r="L10" s="45"/>
      <c r="N10" t="s">
        <v>28</v>
      </c>
    </row>
    <row r="11" spans="1:14" ht="17.649999999999999" x14ac:dyDescent="0.35">
      <c r="A11" s="24" t="s">
        <v>3</v>
      </c>
      <c r="B11" s="31">
        <v>120</v>
      </c>
      <c r="C11" s="9"/>
      <c r="D11" s="31">
        <v>120</v>
      </c>
      <c r="E11" s="9"/>
      <c r="F11" s="9">
        <v>100</v>
      </c>
      <c r="G11" s="9"/>
      <c r="H11" s="9">
        <v>80</v>
      </c>
      <c r="I11" s="9"/>
      <c r="J11" s="9">
        <v>22.5</v>
      </c>
      <c r="K11" s="9"/>
      <c r="L11" s="9">
        <v>22.5</v>
      </c>
    </row>
    <row r="12" spans="1:14" ht="17.649999999999999" x14ac:dyDescent="0.35">
      <c r="A12" s="24"/>
      <c r="B12" s="43"/>
      <c r="C12" s="44"/>
      <c r="D12" s="44"/>
      <c r="E12" s="44"/>
      <c r="F12" s="44"/>
      <c r="G12" s="44"/>
      <c r="H12" s="44"/>
      <c r="I12" s="44"/>
      <c r="J12" s="44"/>
      <c r="K12" s="44"/>
      <c r="L12" s="45"/>
    </row>
    <row r="13" spans="1:14" ht="17.649999999999999" x14ac:dyDescent="0.35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0.13</v>
      </c>
      <c r="K13" s="9"/>
      <c r="L13" s="9">
        <v>0.16</v>
      </c>
      <c r="N13" t="s">
        <v>34</v>
      </c>
    </row>
    <row r="14" spans="1:14" ht="17.649999999999999" x14ac:dyDescent="0.35">
      <c r="A14" s="24"/>
      <c r="B14" s="43"/>
      <c r="C14" s="44"/>
      <c r="D14" s="44"/>
      <c r="E14" s="44"/>
      <c r="F14" s="44"/>
      <c r="G14" s="44"/>
      <c r="H14" s="44"/>
      <c r="I14" s="44"/>
      <c r="J14" s="44"/>
      <c r="K14" s="44"/>
      <c r="L14" s="45"/>
    </row>
    <row r="15" spans="1:14" ht="17.649999999999999" x14ac:dyDescent="0.35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7.649999999999999" x14ac:dyDescent="0.35">
      <c r="A16" s="24"/>
      <c r="B16" s="43"/>
      <c r="C16" s="44"/>
      <c r="D16" s="44"/>
      <c r="E16" s="44"/>
      <c r="F16" s="44"/>
      <c r="G16" s="44"/>
      <c r="H16" s="44"/>
      <c r="I16" s="44"/>
      <c r="J16" s="44"/>
      <c r="K16" s="44"/>
      <c r="L16" s="45"/>
    </row>
    <row r="17" spans="1:14" ht="17.649999999999999" x14ac:dyDescent="0.35">
      <c r="A17" s="24" t="s">
        <v>1</v>
      </c>
      <c r="B17" s="31">
        <v>110</v>
      </c>
      <c r="C17" s="9"/>
      <c r="D17" s="9">
        <v>110</v>
      </c>
      <c r="E17" s="9"/>
      <c r="F17" s="9">
        <v>102</v>
      </c>
      <c r="G17" s="9"/>
      <c r="H17" s="9">
        <v>80</v>
      </c>
      <c r="I17" s="9"/>
      <c r="J17" s="9">
        <v>73</v>
      </c>
      <c r="K17" s="9"/>
      <c r="L17" s="9">
        <v>80</v>
      </c>
      <c r="N17" t="s">
        <v>31</v>
      </c>
    </row>
    <row r="18" spans="1:14" ht="17.649999999999999" x14ac:dyDescent="0.35">
      <c r="A18" s="24"/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8"/>
    </row>
    <row r="19" spans="1:14" ht="17.649999999999999" x14ac:dyDescent="0.35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7.649999999999999" x14ac:dyDescent="0.35">
      <c r="A20" s="24"/>
      <c r="B20" s="43"/>
      <c r="C20" s="44"/>
      <c r="D20" s="44"/>
      <c r="E20" s="44"/>
      <c r="F20" s="44"/>
      <c r="G20" s="44"/>
      <c r="H20" s="44"/>
      <c r="I20" s="44"/>
      <c r="J20" s="44"/>
      <c r="K20" s="44"/>
      <c r="L20" s="45"/>
    </row>
    <row r="21" spans="1:14" ht="17.649999999999999" x14ac:dyDescent="0.35">
      <c r="A21" s="25" t="s">
        <v>22</v>
      </c>
      <c r="B21" s="32">
        <v>0.1</v>
      </c>
      <c r="C21" s="32"/>
      <c r="D21" s="32">
        <v>0.1</v>
      </c>
      <c r="E21" s="32"/>
      <c r="F21" s="32">
        <v>0.2</v>
      </c>
      <c r="G21" s="32"/>
      <c r="H21" s="32">
        <v>0.1</v>
      </c>
      <c r="I21" s="32"/>
      <c r="J21" s="32">
        <v>0.1</v>
      </c>
      <c r="K21" s="32"/>
      <c r="L21" s="32">
        <v>0.1</v>
      </c>
      <c r="N21" t="s">
        <v>33</v>
      </c>
    </row>
    <row r="22" spans="1:14" ht="17.649999999999999" x14ac:dyDescent="0.35">
      <c r="A22" s="24"/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8"/>
    </row>
    <row r="23" spans="1:14" ht="17.649999999999999" x14ac:dyDescent="0.35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7.649999999999999" x14ac:dyDescent="0.35">
      <c r="A24" s="24"/>
      <c r="B24" s="49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4" ht="17.649999999999999" x14ac:dyDescent="0.35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7.649999999999999" x14ac:dyDescent="0.35">
      <c r="A26" s="24"/>
      <c r="B26" s="52"/>
      <c r="C26" s="53"/>
      <c r="D26" s="53"/>
      <c r="E26" s="53"/>
      <c r="F26" s="53"/>
      <c r="G26" s="53"/>
      <c r="H26" s="53"/>
      <c r="I26" s="53"/>
      <c r="J26" s="53"/>
      <c r="K26" s="53"/>
      <c r="L26" s="54"/>
    </row>
    <row r="27" spans="1:14" ht="17.649999999999999" x14ac:dyDescent="0.35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7.649999999999999" x14ac:dyDescent="0.35">
      <c r="A28" s="26"/>
      <c r="B28" s="55"/>
      <c r="C28" s="56"/>
      <c r="D28" s="56"/>
      <c r="E28" s="56"/>
      <c r="F28" s="56"/>
      <c r="G28" s="56"/>
      <c r="H28" s="56"/>
      <c r="I28" s="56"/>
      <c r="J28" s="56"/>
      <c r="K28" s="56"/>
      <c r="L28" s="57"/>
    </row>
    <row r="29" spans="1:14" ht="17.649999999999999" x14ac:dyDescent="0.35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7.649999999999999" x14ac:dyDescent="0.35">
      <c r="A30" s="27"/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7"/>
    </row>
    <row r="31" spans="1:14" ht="17.649999999999999" x14ac:dyDescent="0.35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7.649999999999999" x14ac:dyDescent="0.35">
      <c r="A32" s="27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7"/>
    </row>
    <row r="33" spans="1:25" ht="17.649999999999999" x14ac:dyDescent="0.35">
      <c r="A33" s="27" t="s">
        <v>6</v>
      </c>
      <c r="B33" s="11">
        <f>B17/(1-B21)</f>
        <v>122.22222222222221</v>
      </c>
      <c r="C33" s="11"/>
      <c r="D33" s="11">
        <f>D17/(1-D21)</f>
        <v>122.22222222222221</v>
      </c>
      <c r="E33" s="11"/>
      <c r="F33" s="11">
        <f>F17/(1-F21)</f>
        <v>127.5</v>
      </c>
      <c r="G33" s="11"/>
      <c r="H33" s="11">
        <f>H17/(1-H21)</f>
        <v>88.888888888888886</v>
      </c>
      <c r="I33" s="11"/>
      <c r="J33" s="11">
        <f>J17/(1-J21)</f>
        <v>81.111111111111114</v>
      </c>
      <c r="K33" s="11"/>
      <c r="L33" s="11">
        <f>L17/(1-L21)</f>
        <v>88.888888888888886</v>
      </c>
    </row>
    <row r="34" spans="1:25" ht="17.649999999999999" x14ac:dyDescent="0.35">
      <c r="A34" s="27"/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7"/>
    </row>
    <row r="35" spans="1:25" ht="17.649999999999999" x14ac:dyDescent="0.35">
      <c r="A35" s="27" t="s">
        <v>0</v>
      </c>
      <c r="B35" s="10">
        <f>B33-B17</f>
        <v>12.222222222222214</v>
      </c>
      <c r="C35" s="10"/>
      <c r="D35" s="10">
        <f t="shared" ref="D35:J35" si="0">D33-D17</f>
        <v>12.222222222222214</v>
      </c>
      <c r="E35" s="10"/>
      <c r="F35" s="10">
        <f t="shared" si="0"/>
        <v>25.5</v>
      </c>
      <c r="G35" s="10"/>
      <c r="H35" s="10">
        <f t="shared" si="0"/>
        <v>8.8888888888888857</v>
      </c>
      <c r="I35" s="10"/>
      <c r="J35" s="10">
        <f t="shared" si="0"/>
        <v>8.1111111111111143</v>
      </c>
      <c r="K35" s="10"/>
      <c r="L35" s="10">
        <f>L33-L17</f>
        <v>8.8888888888888857</v>
      </c>
    </row>
    <row r="36" spans="1:25" ht="17.25" x14ac:dyDescent="0.35">
      <c r="A36" s="2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25" ht="17.649999999999999" x14ac:dyDescent="0.35">
      <c r="A37" s="27" t="s">
        <v>9</v>
      </c>
      <c r="B37" s="10">
        <f>(B17+B33)/2</f>
        <v>116.11111111111111</v>
      </c>
      <c r="C37" s="11"/>
      <c r="D37" s="11">
        <f>(D17+D33)/2</f>
        <v>116.11111111111111</v>
      </c>
      <c r="E37" s="11"/>
      <c r="F37" s="12">
        <f>(F17+F33)/2</f>
        <v>114.75</v>
      </c>
      <c r="G37" s="11"/>
      <c r="H37" s="12">
        <f>(H17+H33)/2</f>
        <v>84.444444444444443</v>
      </c>
      <c r="I37" s="12"/>
      <c r="J37" s="13">
        <f>(J17+J33)/2</f>
        <v>77.055555555555557</v>
      </c>
      <c r="K37" s="13"/>
      <c r="L37" s="13">
        <f>(L17+L33)/2</f>
        <v>84.444444444444443</v>
      </c>
    </row>
    <row r="38" spans="1:25" ht="17.649999999999999" x14ac:dyDescent="0.35">
      <c r="A38" s="29"/>
      <c r="B38" s="35"/>
      <c r="C38" s="36"/>
      <c r="D38" s="36"/>
      <c r="E38" s="36"/>
      <c r="F38" s="36"/>
      <c r="G38" s="36"/>
      <c r="H38" s="36"/>
      <c r="I38" s="36"/>
      <c r="J38" s="36"/>
      <c r="K38" s="36"/>
      <c r="L38" s="37"/>
    </row>
    <row r="39" spans="1:25" ht="17.649999999999999" x14ac:dyDescent="0.35">
      <c r="A39" s="27" t="s">
        <v>19</v>
      </c>
      <c r="B39" s="10">
        <f>B23*(B9*B9-B11*B11)</f>
        <v>16328</v>
      </c>
      <c r="C39" s="11"/>
      <c r="D39" s="11">
        <f>D23*(D9*D9-D11*D11)</f>
        <v>16328</v>
      </c>
      <c r="E39" s="11"/>
      <c r="F39" s="12">
        <f>F23*(F9*F9-F11*F11)</f>
        <v>30144</v>
      </c>
      <c r="G39" s="11"/>
      <c r="H39" s="12">
        <f>H23*(H9*H9-H11*H11)</f>
        <v>9448.26</v>
      </c>
      <c r="I39" s="12"/>
      <c r="J39" s="13">
        <f>J23*(J9*J9-J11*J11)</f>
        <v>7908.875</v>
      </c>
      <c r="K39" s="13"/>
      <c r="L39" s="13">
        <f>L23*(L9*L9-L11*L11)</f>
        <v>9340.7150000000001</v>
      </c>
    </row>
    <row r="40" spans="1:25" ht="17.649999999999999" x14ac:dyDescent="0.35">
      <c r="A40" s="27"/>
      <c r="B40" s="35"/>
      <c r="C40" s="36"/>
      <c r="D40" s="36"/>
      <c r="E40" s="36"/>
      <c r="F40" s="36"/>
      <c r="G40" s="36"/>
      <c r="H40" s="36"/>
      <c r="I40" s="36"/>
      <c r="J40" s="36"/>
      <c r="K40" s="36"/>
      <c r="L40" s="37"/>
    </row>
    <row r="41" spans="1:25" ht="17.649999999999999" x14ac:dyDescent="0.35">
      <c r="A41" s="27" t="s">
        <v>10</v>
      </c>
      <c r="B41" s="10">
        <f>B15*B39</f>
        <v>24492</v>
      </c>
      <c r="C41" s="11"/>
      <c r="D41" s="11">
        <f>D15*D39</f>
        <v>24492</v>
      </c>
      <c r="E41" s="11"/>
      <c r="F41" s="12">
        <f>F15*F39</f>
        <v>45216</v>
      </c>
      <c r="G41" s="11"/>
      <c r="H41" s="12">
        <f>H15*H39</f>
        <v>14172.39</v>
      </c>
      <c r="I41" s="12"/>
      <c r="J41" s="13">
        <f>J15*J39</f>
        <v>11863.3125</v>
      </c>
      <c r="K41" s="13"/>
      <c r="L41" s="13">
        <f>L15*L39</f>
        <v>14011.0725</v>
      </c>
    </row>
    <row r="42" spans="1:25" ht="17.649999999999999" x14ac:dyDescent="0.35">
      <c r="A42" s="27"/>
      <c r="B42" s="35"/>
      <c r="C42" s="36"/>
      <c r="D42" s="36"/>
      <c r="E42" s="36"/>
      <c r="F42" s="36"/>
      <c r="G42" s="36"/>
      <c r="H42" s="36"/>
      <c r="I42" s="36"/>
      <c r="J42" s="36"/>
      <c r="K42" s="36"/>
      <c r="L42" s="37"/>
    </row>
    <row r="43" spans="1:25" ht="17.649999999999999" x14ac:dyDescent="0.35">
      <c r="A43" s="27" t="s">
        <v>5</v>
      </c>
      <c r="B43" s="10">
        <f>B41/1.2</f>
        <v>20410</v>
      </c>
      <c r="C43" s="11"/>
      <c r="D43" s="11">
        <f t="shared" ref="D43:J43" si="1">D41/1.2</f>
        <v>20410</v>
      </c>
      <c r="E43" s="11"/>
      <c r="F43" s="12">
        <f t="shared" si="1"/>
        <v>37680</v>
      </c>
      <c r="G43" s="11"/>
      <c r="H43" s="12">
        <f t="shared" si="1"/>
        <v>11810.325000000001</v>
      </c>
      <c r="I43" s="12"/>
      <c r="J43" s="13">
        <f t="shared" si="1"/>
        <v>9886.09375</v>
      </c>
      <c r="K43" s="13"/>
      <c r="L43" s="13">
        <f>L41/1.2</f>
        <v>11675.893750000001</v>
      </c>
    </row>
    <row r="44" spans="1:25" ht="17.649999999999999" x14ac:dyDescent="0.35">
      <c r="A44" s="27"/>
      <c r="B44" s="35"/>
      <c r="C44" s="36"/>
      <c r="D44" s="36"/>
      <c r="E44" s="36"/>
      <c r="F44" s="36"/>
      <c r="G44" s="36"/>
      <c r="H44" s="36"/>
      <c r="I44" s="36"/>
      <c r="J44" s="36"/>
      <c r="K44" s="36"/>
      <c r="L44" s="37"/>
    </row>
    <row r="45" spans="1:25" ht="17.649999999999999" x14ac:dyDescent="0.35">
      <c r="A45" s="27" t="s">
        <v>4</v>
      </c>
      <c r="B45" s="10">
        <f>0.2*B43</f>
        <v>4082</v>
      </c>
      <c r="C45" s="11"/>
      <c r="D45" s="11">
        <f t="shared" ref="D45:J45" si="2">0.2*D43</f>
        <v>4082</v>
      </c>
      <c r="E45" s="11"/>
      <c r="F45" s="12">
        <f t="shared" si="2"/>
        <v>7536</v>
      </c>
      <c r="G45" s="11"/>
      <c r="H45" s="12">
        <f t="shared" si="2"/>
        <v>2362.0650000000001</v>
      </c>
      <c r="I45" s="12"/>
      <c r="J45" s="13">
        <f t="shared" si="2"/>
        <v>1977.21875</v>
      </c>
      <c r="K45" s="13"/>
      <c r="L45" s="13">
        <f>0.2*L43</f>
        <v>2335.1787500000005</v>
      </c>
    </row>
    <row r="46" spans="1:25" ht="17.649999999999999" x14ac:dyDescent="0.35">
      <c r="A46" s="27"/>
      <c r="B46" s="35"/>
      <c r="C46" s="36"/>
      <c r="D46" s="36"/>
      <c r="E46" s="36"/>
      <c r="F46" s="36"/>
      <c r="G46" s="36"/>
      <c r="H46" s="36"/>
      <c r="I46" s="36"/>
      <c r="J46" s="36"/>
      <c r="K46" s="36"/>
      <c r="L46" s="37"/>
    </row>
    <row r="47" spans="1:25" ht="17.649999999999999" x14ac:dyDescent="0.35">
      <c r="A47" s="41" t="s">
        <v>25</v>
      </c>
      <c r="B47" s="10">
        <f>1000*B31/(B43*B13*B37)</f>
        <v>1.3028372900984366</v>
      </c>
      <c r="C47" s="11"/>
      <c r="D47" s="11">
        <f>1000*D31/(D43*D13*D37)</f>
        <v>1.5771188248560024</v>
      </c>
      <c r="E47" s="11"/>
      <c r="F47" s="12">
        <f>1000*F31/(F43*F13*F37)</f>
        <v>7.8349413013613081</v>
      </c>
      <c r="G47" s="11"/>
      <c r="H47" s="12">
        <f>1000*H31/(H43*H13*H37)</f>
        <v>4.8066494448936128</v>
      </c>
      <c r="I47" s="12"/>
      <c r="J47" s="13">
        <f>1000*J31/(J43*J13*J37)</f>
        <v>3.7412452587618859</v>
      </c>
      <c r="K47" s="13"/>
      <c r="L47" s="13">
        <f>1000*L31/(L43*L13*L37)</f>
        <v>6.9031399799581434</v>
      </c>
      <c r="O47">
        <f>(1.2*1000*B27*B25*B7*(1-B21))/(B13*B15*B23*(B9*B9-B11*B11)*(1-0.5*B21)*B17)</f>
        <v>1.3028372900984369</v>
      </c>
      <c r="Q47">
        <f>(1.2*1000*D27*D25*D7*(1-D21))/(D13*D15*D23*(D9*D9-D11*D11)*(1-0.5*D21)*D17)</f>
        <v>1.5771188248560022</v>
      </c>
      <c r="S47">
        <f>(1.2*1000*F27*F25*F7*(1-F21))/(F13*F15*F23*(F9*F9-F11*F11)*(1-0.5*F21)*F17)</f>
        <v>7.8349413013613098</v>
      </c>
      <c r="U47">
        <f>(1.2*1000*H27*H25*H7*(1-H21))/(H13*H15*H23*(H9*H9-H11*H11)*(1-0.5*H21)*H17)</f>
        <v>4.8066494448936128</v>
      </c>
      <c r="W47">
        <f t="shared" ref="W47:Y47" si="3">(1.2*1000*J27*J25*J7*(1-J21))/(J13*J15*J23*(J9*J9-J11*J11)*(1-0.5*J21)*J17)</f>
        <v>3.7412452587618863</v>
      </c>
      <c r="Y47">
        <f t="shared" si="3"/>
        <v>6.9031399799581443</v>
      </c>
    </row>
    <row r="48" spans="1:25" ht="17.649999999999999" x14ac:dyDescent="0.35">
      <c r="A48" s="42"/>
      <c r="B48" s="16">
        <v>2</v>
      </c>
      <c r="C48" s="17"/>
      <c r="D48" s="17">
        <v>2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8</v>
      </c>
    </row>
    <row r="49" spans="1:25" ht="18" thickBot="1" x14ac:dyDescent="0.4">
      <c r="A49" s="30" t="s">
        <v>24</v>
      </c>
      <c r="B49" s="20">
        <f>B43/(2*B23*B37*B35*(1-B19))</f>
        <v>2.8626576772509802</v>
      </c>
      <c r="C49" s="21"/>
      <c r="D49" s="21">
        <f>D43/(2*D23*D37*D35*(1-D19))</f>
        <v>2.8626576772509802</v>
      </c>
      <c r="E49" s="21"/>
      <c r="F49" s="22">
        <f>F43/(2*F23*F37*F35*(1-F19))</f>
        <v>3.154605230729798</v>
      </c>
      <c r="G49" s="21"/>
      <c r="H49" s="22">
        <f>H43/(2*H23*H37*H35*(1-H19))</f>
        <v>3.1317973889802642</v>
      </c>
      <c r="I49" s="22"/>
      <c r="J49" s="23">
        <f>J43/(2*J23*J37*J35*(1-J19))</f>
        <v>3.1484064046281013</v>
      </c>
      <c r="K49" s="23"/>
      <c r="L49" s="23">
        <f>L43/(2*L23*L37*L35*(1-L19))</f>
        <v>3.0961496453536195</v>
      </c>
      <c r="O49">
        <f>((B9*B9-B11*B11)*B15*((1-B21)^2))/(1.2*2*(1-0.5*B21)*B17*B17*B21*(1-B19))</f>
        <v>2.8626576772509789</v>
      </c>
      <c r="Q49">
        <f>((D9*D9-D11*D11)*D15*((1-D21)^2))/(1.2*2*(1-0.5*D21)*D17*D17*D21*(1-D19))</f>
        <v>2.8626576772509789</v>
      </c>
      <c r="S49">
        <f>((F9*F9-F11*F11)*F15*((1-F21)^2))/(1.2*2*(1-0.5*F21)*F17*F17*F21*(1-F19))</f>
        <v>3.1546052307297976</v>
      </c>
      <c r="U49">
        <f>((H9*H9-H11*H11)*H15*((1-H21)^2))/(1.2*2*(1-0.5*H21)*H17*H17*H21*(1-H19))</f>
        <v>3.1317973889802637</v>
      </c>
      <c r="W49">
        <f t="shared" ref="W49:Y49" si="4">((J9*J9-J11*J11)*J15*((1-J21)^2))/(1.2*2*(1-0.5*J21)*J17*J17*J21*(1-J19))</f>
        <v>3.1484064046281026</v>
      </c>
      <c r="Y49">
        <f t="shared" si="4"/>
        <v>3.096149645353619</v>
      </c>
    </row>
  </sheetData>
  <mergeCells count="22"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  <mergeCell ref="B46:L46"/>
    <mergeCell ref="B36:L36"/>
    <mergeCell ref="B38:L38"/>
    <mergeCell ref="B40:L40"/>
    <mergeCell ref="B42:L42"/>
    <mergeCell ref="B44:L4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2026-04-29T08:43:41Z</dcterms:modified>
</cp:coreProperties>
</file>