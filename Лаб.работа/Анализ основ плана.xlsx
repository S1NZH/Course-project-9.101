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5180" windowHeight="11640" activeTab="5"/>
  </bookViews>
  <sheets>
    <sheet name="4R81" sheetId="1" r:id="rId1"/>
    <sheet name="4R82" sheetId="8" r:id="rId2"/>
    <sheet name="4R83" sheetId="9" r:id="rId3"/>
    <sheet name="4R84" sheetId="11" r:id="rId4"/>
    <sheet name="4R85" sheetId="29" r:id="rId5"/>
    <sheet name="4R86" sheetId="30" r:id="rId6"/>
    <sheet name="4R91" sheetId="2" r:id="rId7"/>
    <sheet name="4R92" sheetId="3" r:id="rId8"/>
    <sheet name="4R93" sheetId="4" r:id="rId9"/>
    <sheet name="4R94" sheetId="15" r:id="rId10"/>
    <sheet name="4R95" sheetId="14" r:id="rId11"/>
    <sheet name="4R96" sheetId="13" r:id="rId12"/>
    <sheet name="4R97" sheetId="16" r:id="rId13"/>
    <sheet name="4R98" sheetId="17" r:id="rId14"/>
    <sheet name="4R99" sheetId="20" r:id="rId15"/>
    <sheet name="4R910" sheetId="21" r:id="rId16"/>
    <sheet name="4R911" sheetId="22" r:id="rId17"/>
    <sheet name="4R912" sheetId="23" r:id="rId18"/>
    <sheet name="4R913" sheetId="24" r:id="rId19"/>
    <sheet name="4R101" sheetId="5" r:id="rId20"/>
    <sheet name="4R102" sheetId="6" r:id="rId21"/>
    <sheet name="4R103" sheetId="18" r:id="rId22"/>
    <sheet name="4R104" sheetId="19" r:id="rId23"/>
    <sheet name="4R105" sheetId="25" r:id="rId24"/>
    <sheet name="4R106" sheetId="26" r:id="rId25"/>
    <sheet name="4R107" sheetId="28" r:id="rId26"/>
  </sheets>
  <calcPr calcId="145621"/>
</workbook>
</file>

<file path=xl/calcChain.xml><?xml version="1.0" encoding="utf-8"?>
<calcChain xmlns="http://schemas.openxmlformats.org/spreadsheetml/2006/main">
  <c r="B3" i="30" l="1"/>
  <c r="I3" i="30"/>
  <c r="H3" i="30"/>
  <c r="G3" i="30"/>
  <c r="F3" i="30"/>
  <c r="F6" i="30" s="1"/>
  <c r="E3" i="30"/>
  <c r="D3" i="30"/>
  <c r="D6" i="30" s="1"/>
  <c r="C3" i="30"/>
  <c r="C6" i="30" s="1"/>
  <c r="I6" i="30"/>
  <c r="H6" i="30"/>
  <c r="G6" i="30"/>
  <c r="E6" i="30"/>
  <c r="B6" i="30"/>
  <c r="I5" i="30"/>
  <c r="H5" i="30"/>
  <c r="G5" i="30"/>
  <c r="F5" i="30"/>
  <c r="E5" i="30"/>
  <c r="D5" i="30"/>
  <c r="C5" i="30"/>
  <c r="B5" i="30"/>
  <c r="I4" i="30"/>
  <c r="H4" i="30"/>
  <c r="G4" i="30"/>
  <c r="F4" i="30"/>
  <c r="E4" i="30"/>
  <c r="D4" i="30"/>
  <c r="C4" i="30"/>
  <c r="K3" i="30"/>
  <c r="I4" i="29"/>
  <c r="H4" i="29"/>
  <c r="I5" i="29"/>
  <c r="G4" i="29"/>
  <c r="F4" i="29"/>
  <c r="G5" i="29"/>
  <c r="E4" i="29"/>
  <c r="D4" i="29"/>
  <c r="E5" i="29"/>
  <c r="C4" i="29"/>
  <c r="B4" i="29"/>
  <c r="C5" i="29"/>
  <c r="I7" i="29"/>
  <c r="H7" i="29"/>
  <c r="G7" i="29"/>
  <c r="F7" i="29"/>
  <c r="E7" i="29"/>
  <c r="D7" i="29"/>
  <c r="C7" i="29"/>
  <c r="B7" i="29"/>
  <c r="I6" i="29"/>
  <c r="H6" i="29"/>
  <c r="G6" i="29"/>
  <c r="F6" i="29"/>
  <c r="E6" i="29"/>
  <c r="D6" i="29"/>
  <c r="C6" i="29"/>
  <c r="B6" i="29"/>
  <c r="H5" i="29"/>
  <c r="F5" i="29"/>
  <c r="D5" i="29"/>
  <c r="K4" i="29"/>
  <c r="C3" i="28"/>
  <c r="D3" i="28"/>
  <c r="E3" i="28"/>
  <c r="E6" i="28"/>
  <c r="F3" i="28"/>
  <c r="F5" i="28"/>
  <c r="G3" i="28"/>
  <c r="H3" i="28"/>
  <c r="I3" i="28"/>
  <c r="I6" i="28"/>
  <c r="J3" i="28"/>
  <c r="J5" i="28"/>
  <c r="K3" i="28"/>
  <c r="B3" i="28"/>
  <c r="K6" i="28"/>
  <c r="J6" i="28"/>
  <c r="H6" i="28"/>
  <c r="G6" i="28"/>
  <c r="F6" i="28"/>
  <c r="D6" i="28"/>
  <c r="C6" i="28"/>
  <c r="B6" i="28"/>
  <c r="K5" i="28"/>
  <c r="I5" i="28"/>
  <c r="H5" i="28"/>
  <c r="G5" i="28"/>
  <c r="E5" i="28"/>
  <c r="D5" i="28"/>
  <c r="C5" i="28"/>
  <c r="B5" i="28"/>
  <c r="K4" i="28"/>
  <c r="H4" i="28"/>
  <c r="G4" i="28"/>
  <c r="D4" i="28"/>
  <c r="C4" i="28"/>
  <c r="C3" i="26"/>
  <c r="D3" i="26"/>
  <c r="E3" i="26"/>
  <c r="E6" i="26"/>
  <c r="F3" i="26"/>
  <c r="F5" i="26"/>
  <c r="G3" i="26"/>
  <c r="H3" i="26"/>
  <c r="I3" i="26"/>
  <c r="I6" i="26"/>
  <c r="J3" i="26"/>
  <c r="J5" i="26"/>
  <c r="K3" i="26"/>
  <c r="B3" i="26"/>
  <c r="K6" i="26"/>
  <c r="J6" i="26"/>
  <c r="H6" i="26"/>
  <c r="G6" i="26"/>
  <c r="F6" i="26"/>
  <c r="D6" i="26"/>
  <c r="C6" i="26"/>
  <c r="B6" i="26"/>
  <c r="K5" i="26"/>
  <c r="I5" i="26"/>
  <c r="H5" i="26"/>
  <c r="G5" i="26"/>
  <c r="E5" i="26"/>
  <c r="D5" i="26"/>
  <c r="C5" i="26"/>
  <c r="B5" i="26"/>
  <c r="K4" i="26"/>
  <c r="H4" i="26"/>
  <c r="G4" i="26"/>
  <c r="D4" i="26"/>
  <c r="C4" i="26"/>
  <c r="B4" i="25"/>
  <c r="B7" i="25"/>
  <c r="C4" i="25"/>
  <c r="C7" i="25"/>
  <c r="D4" i="25"/>
  <c r="D7" i="25"/>
  <c r="E4" i="25"/>
  <c r="F4" i="25"/>
  <c r="G4" i="25"/>
  <c r="G7" i="25"/>
  <c r="H4" i="25"/>
  <c r="H7" i="25"/>
  <c r="I4" i="25"/>
  <c r="J4" i="25"/>
  <c r="J5" i="25"/>
  <c r="K4" i="25"/>
  <c r="K6" i="25"/>
  <c r="J7" i="25"/>
  <c r="I7" i="25"/>
  <c r="F7" i="25"/>
  <c r="E7" i="25"/>
  <c r="J6" i="25"/>
  <c r="I6" i="25"/>
  <c r="F6" i="25"/>
  <c r="E6" i="25"/>
  <c r="B6" i="25"/>
  <c r="M5" i="25"/>
  <c r="H5" i="25"/>
  <c r="G5" i="25"/>
  <c r="F5" i="25"/>
  <c r="D5" i="25"/>
  <c r="C5" i="25"/>
  <c r="D7" i="24"/>
  <c r="H7" i="24"/>
  <c r="B7" i="24"/>
  <c r="G7" i="23"/>
  <c r="J7" i="23"/>
  <c r="B3" i="16"/>
  <c r="B6" i="16"/>
  <c r="I2" i="3"/>
  <c r="I5" i="3"/>
  <c r="J2" i="3"/>
  <c r="J5" i="3"/>
  <c r="K2" i="3"/>
  <c r="K5" i="3"/>
  <c r="E6" i="22"/>
  <c r="I6" i="22"/>
  <c r="E6" i="21"/>
  <c r="I6" i="21"/>
  <c r="B6" i="21"/>
  <c r="F6" i="20"/>
  <c r="B6" i="20"/>
  <c r="B5" i="2"/>
  <c r="D6" i="11"/>
  <c r="E6" i="11"/>
  <c r="H6" i="11"/>
  <c r="I6" i="11"/>
  <c r="B6" i="11"/>
  <c r="C11" i="8"/>
  <c r="C14" i="8"/>
  <c r="D10" i="8"/>
  <c r="D11" i="8"/>
  <c r="D14" i="8"/>
  <c r="E11" i="8"/>
  <c r="E14" i="8"/>
  <c r="F11" i="8"/>
  <c r="F14" i="8"/>
  <c r="G11" i="8"/>
  <c r="G14" i="8"/>
  <c r="H11" i="8"/>
  <c r="H14" i="8"/>
  <c r="I11" i="8"/>
  <c r="I14" i="8"/>
  <c r="B11" i="8"/>
  <c r="B14" i="8"/>
  <c r="B2" i="2"/>
  <c r="B3" i="11"/>
  <c r="C3" i="11"/>
  <c r="C6" i="11"/>
  <c r="D3" i="11"/>
  <c r="E3" i="11"/>
  <c r="F3" i="11"/>
  <c r="F6" i="11"/>
  <c r="G3" i="11"/>
  <c r="G6" i="11"/>
  <c r="H3" i="11"/>
  <c r="I3" i="11"/>
  <c r="C3" i="9"/>
  <c r="C6" i="9"/>
  <c r="C4" i="24"/>
  <c r="D4" i="24"/>
  <c r="E4" i="24"/>
  <c r="E7" i="24"/>
  <c r="F4" i="24"/>
  <c r="G4" i="24"/>
  <c r="H4" i="24"/>
  <c r="I4" i="24"/>
  <c r="I7" i="24"/>
  <c r="J4" i="24"/>
  <c r="K4" i="24"/>
  <c r="B4" i="24"/>
  <c r="I6" i="24"/>
  <c r="H6" i="24"/>
  <c r="E6" i="24"/>
  <c r="D6" i="24"/>
  <c r="I5" i="24"/>
  <c r="E5" i="24"/>
  <c r="B4" i="23"/>
  <c r="M5" i="23"/>
  <c r="K4" i="23"/>
  <c r="H4" i="23"/>
  <c r="G4" i="23"/>
  <c r="I4" i="23"/>
  <c r="J4" i="23"/>
  <c r="F4" i="23"/>
  <c r="G5" i="23"/>
  <c r="C4" i="23"/>
  <c r="C6" i="23"/>
  <c r="C5" i="23"/>
  <c r="J6" i="23"/>
  <c r="G6" i="23"/>
  <c r="F6" i="23"/>
  <c r="E4" i="23"/>
  <c r="E7" i="23"/>
  <c r="E6" i="23"/>
  <c r="D4" i="23"/>
  <c r="D7" i="23"/>
  <c r="E5" i="23"/>
  <c r="B3" i="21"/>
  <c r="J3" i="20"/>
  <c r="C3" i="22"/>
  <c r="D3" i="22"/>
  <c r="D6" i="22"/>
  <c r="E3" i="22"/>
  <c r="F3" i="22"/>
  <c r="F4" i="22"/>
  <c r="G3" i="22"/>
  <c r="H3" i="22"/>
  <c r="H6" i="22"/>
  <c r="I3" i="22"/>
  <c r="B3" i="22"/>
  <c r="B5" i="22"/>
  <c r="I5" i="22"/>
  <c r="H5" i="22"/>
  <c r="F5" i="22"/>
  <c r="E5" i="22"/>
  <c r="D5" i="22"/>
  <c r="K4" i="22"/>
  <c r="I4" i="22"/>
  <c r="G4" i="22"/>
  <c r="E4" i="22"/>
  <c r="C3" i="21"/>
  <c r="D3" i="21"/>
  <c r="D6" i="21"/>
  <c r="E3" i="21"/>
  <c r="F3" i="21"/>
  <c r="F6" i="21"/>
  <c r="G3" i="21"/>
  <c r="G6" i="21"/>
  <c r="H3" i="21"/>
  <c r="H6" i="21"/>
  <c r="I3" i="21"/>
  <c r="C3" i="20"/>
  <c r="D3" i="20"/>
  <c r="D6" i="20"/>
  <c r="E3" i="20"/>
  <c r="E6" i="20"/>
  <c r="F3" i="20"/>
  <c r="G3" i="20"/>
  <c r="H3" i="20"/>
  <c r="H6" i="20"/>
  <c r="I3" i="20"/>
  <c r="I6" i="20"/>
  <c r="B3" i="20"/>
  <c r="I5" i="21"/>
  <c r="H5" i="21"/>
  <c r="E5" i="21"/>
  <c r="D5" i="21"/>
  <c r="C5" i="21"/>
  <c r="B5" i="21"/>
  <c r="K4" i="21"/>
  <c r="I4" i="21"/>
  <c r="H4" i="21"/>
  <c r="E4" i="21"/>
  <c r="I5" i="20"/>
  <c r="G5" i="20"/>
  <c r="F5" i="20"/>
  <c r="E5" i="20"/>
  <c r="C5" i="20"/>
  <c r="B5" i="20"/>
  <c r="K4" i="20"/>
  <c r="F4" i="20"/>
  <c r="E4" i="20"/>
  <c r="B3" i="19"/>
  <c r="B6" i="19"/>
  <c r="J3" i="19"/>
  <c r="J6" i="19"/>
  <c r="M4" i="19"/>
  <c r="C3" i="19"/>
  <c r="C6" i="19"/>
  <c r="D3" i="19"/>
  <c r="D6" i="19"/>
  <c r="E3" i="19"/>
  <c r="F3" i="19"/>
  <c r="F6" i="19"/>
  <c r="G3" i="19"/>
  <c r="G6" i="19"/>
  <c r="H3" i="19"/>
  <c r="H6" i="19"/>
  <c r="I3" i="19"/>
  <c r="J5" i="19"/>
  <c r="G5" i="19"/>
  <c r="D5" i="19"/>
  <c r="C5" i="19"/>
  <c r="B5" i="19"/>
  <c r="H4" i="19"/>
  <c r="E4" i="19"/>
  <c r="D4" i="19"/>
  <c r="C4" i="19"/>
  <c r="B3" i="18"/>
  <c r="B6" i="18"/>
  <c r="K3" i="18"/>
  <c r="N4" i="18"/>
  <c r="C3" i="18"/>
  <c r="C6" i="18"/>
  <c r="D3" i="18"/>
  <c r="D6" i="18"/>
  <c r="E3" i="18"/>
  <c r="E6" i="18"/>
  <c r="F3" i="18"/>
  <c r="F6" i="18"/>
  <c r="G3" i="18"/>
  <c r="G6" i="18"/>
  <c r="H3" i="18"/>
  <c r="I3" i="18"/>
  <c r="I6" i="18"/>
  <c r="J3" i="18"/>
  <c r="J6" i="18"/>
  <c r="J5" i="18"/>
  <c r="H5" i="18"/>
  <c r="G5" i="18"/>
  <c r="F5" i="18"/>
  <c r="D5" i="18"/>
  <c r="C5" i="18"/>
  <c r="B5" i="18"/>
  <c r="J4" i="18"/>
  <c r="H4" i="18"/>
  <c r="G4" i="18"/>
  <c r="E4" i="18"/>
  <c r="D4" i="18"/>
  <c r="C4" i="18"/>
  <c r="C4" i="17"/>
  <c r="C7" i="17"/>
  <c r="D4" i="17"/>
  <c r="D7" i="17"/>
  <c r="E4" i="17"/>
  <c r="E7" i="17"/>
  <c r="F4" i="17"/>
  <c r="F7" i="17"/>
  <c r="G4" i="17"/>
  <c r="G7" i="17"/>
  <c r="H4" i="17"/>
  <c r="H7" i="17"/>
  <c r="I4" i="17"/>
  <c r="I7" i="17"/>
  <c r="J4" i="17"/>
  <c r="J7" i="17"/>
  <c r="B4" i="17"/>
  <c r="B7" i="17"/>
  <c r="I6" i="17"/>
  <c r="H6" i="17"/>
  <c r="G6" i="17"/>
  <c r="E6" i="17"/>
  <c r="D6" i="17"/>
  <c r="C6" i="17"/>
  <c r="B6" i="17"/>
  <c r="J5" i="17"/>
  <c r="H5" i="17"/>
  <c r="F5" i="17"/>
  <c r="D5" i="17"/>
  <c r="C5" i="17"/>
  <c r="C3" i="16"/>
  <c r="C6" i="16"/>
  <c r="D3" i="16"/>
  <c r="D6" i="16"/>
  <c r="E3" i="16"/>
  <c r="E6" i="16"/>
  <c r="F3" i="16"/>
  <c r="F6" i="16"/>
  <c r="G3" i="16"/>
  <c r="G6" i="16"/>
  <c r="H3" i="16"/>
  <c r="H6" i="16"/>
  <c r="I3" i="16"/>
  <c r="I6" i="16"/>
  <c r="J3" i="16"/>
  <c r="J6" i="16"/>
  <c r="J5" i="16"/>
  <c r="H5" i="16"/>
  <c r="F5" i="16"/>
  <c r="D5" i="16"/>
  <c r="B5" i="16"/>
  <c r="J4" i="16"/>
  <c r="H4" i="16"/>
  <c r="F4" i="16"/>
  <c r="E4" i="16"/>
  <c r="D4" i="16"/>
  <c r="B2" i="5"/>
  <c r="B5" i="5"/>
  <c r="J2" i="5"/>
  <c r="J5" i="5"/>
  <c r="M3" i="5"/>
  <c r="C5" i="13"/>
  <c r="C8" i="13"/>
  <c r="D5" i="13"/>
  <c r="D8" i="13"/>
  <c r="E5" i="13"/>
  <c r="E8" i="13"/>
  <c r="F5" i="13"/>
  <c r="F8" i="13"/>
  <c r="G5" i="13"/>
  <c r="G8" i="13"/>
  <c r="H5" i="13"/>
  <c r="H8" i="13"/>
  <c r="I5" i="13"/>
  <c r="I8" i="13"/>
  <c r="J5" i="13"/>
  <c r="J8" i="13"/>
  <c r="B5" i="13"/>
  <c r="B8" i="13"/>
  <c r="I7" i="13"/>
  <c r="H7" i="13"/>
  <c r="G7" i="13"/>
  <c r="E7" i="13"/>
  <c r="D7" i="13"/>
  <c r="C7" i="13"/>
  <c r="B7" i="13"/>
  <c r="J6" i="13"/>
  <c r="H6" i="13"/>
  <c r="F6" i="13"/>
  <c r="D6" i="13"/>
  <c r="C6" i="13"/>
  <c r="H4" i="14"/>
  <c r="H7" i="14"/>
  <c r="B4" i="14"/>
  <c r="B7" i="14"/>
  <c r="J4" i="14"/>
  <c r="J7" i="14"/>
  <c r="B2" i="4"/>
  <c r="J2" i="4"/>
  <c r="M3" i="4"/>
  <c r="C4" i="14"/>
  <c r="C7" i="14"/>
  <c r="D4" i="14"/>
  <c r="D7" i="14"/>
  <c r="E4" i="14"/>
  <c r="E7" i="14"/>
  <c r="F4" i="14"/>
  <c r="F7" i="14"/>
  <c r="G4" i="14"/>
  <c r="G7" i="14"/>
  <c r="I4" i="14"/>
  <c r="I7" i="14"/>
  <c r="J6" i="14"/>
  <c r="F6" i="14"/>
  <c r="D6" i="14"/>
  <c r="C6" i="14"/>
  <c r="B6" i="14"/>
  <c r="G5" i="14"/>
  <c r="D5" i="14"/>
  <c r="C5" i="14"/>
  <c r="C3" i="15"/>
  <c r="C6" i="15"/>
  <c r="D3" i="15"/>
  <c r="D6" i="15"/>
  <c r="E3" i="15"/>
  <c r="E6" i="15"/>
  <c r="F3" i="15"/>
  <c r="F6" i="15"/>
  <c r="G3" i="15"/>
  <c r="G6" i="15"/>
  <c r="H3" i="15"/>
  <c r="H6" i="15"/>
  <c r="I3" i="15"/>
  <c r="I6" i="15"/>
  <c r="J3" i="15"/>
  <c r="J6" i="15"/>
  <c r="B3" i="15"/>
  <c r="B6" i="15"/>
  <c r="I5" i="15"/>
  <c r="H5" i="15"/>
  <c r="G5" i="15"/>
  <c r="E5" i="15"/>
  <c r="D5" i="15"/>
  <c r="C5" i="15"/>
  <c r="B5" i="15"/>
  <c r="I4" i="15"/>
  <c r="E4" i="15"/>
  <c r="C4" i="15"/>
  <c r="I5" i="11"/>
  <c r="H5" i="11"/>
  <c r="G5" i="11"/>
  <c r="F5" i="11"/>
  <c r="E5" i="11"/>
  <c r="D5" i="11"/>
  <c r="C5" i="11"/>
  <c r="B5" i="11"/>
  <c r="I4" i="11"/>
  <c r="H4" i="11"/>
  <c r="G4" i="11"/>
  <c r="F4" i="11"/>
  <c r="E4" i="11"/>
  <c r="D4" i="11"/>
  <c r="C4" i="11"/>
  <c r="K3" i="11"/>
  <c r="I3" i="9"/>
  <c r="I6" i="9"/>
  <c r="I5" i="9"/>
  <c r="H3" i="9"/>
  <c r="H6" i="9"/>
  <c r="H5" i="9"/>
  <c r="G3" i="9"/>
  <c r="G6" i="9"/>
  <c r="G5" i="9"/>
  <c r="F3" i="9"/>
  <c r="F6" i="9"/>
  <c r="F5" i="9"/>
  <c r="E3" i="9"/>
  <c r="E6" i="9"/>
  <c r="E5" i="9"/>
  <c r="D3" i="9"/>
  <c r="D6" i="9"/>
  <c r="D5" i="9"/>
  <c r="C5" i="9"/>
  <c r="B3" i="9"/>
  <c r="B5" i="9"/>
  <c r="I4" i="9"/>
  <c r="H4" i="9"/>
  <c r="G4" i="9"/>
  <c r="E4" i="9"/>
  <c r="D4" i="9"/>
  <c r="C4" i="9"/>
  <c r="I2" i="2"/>
  <c r="I5" i="2"/>
  <c r="I4" i="2"/>
  <c r="H2" i="2"/>
  <c r="H5" i="2"/>
  <c r="H4" i="2"/>
  <c r="G2" i="2"/>
  <c r="G5" i="2"/>
  <c r="G4" i="2"/>
  <c r="F2" i="2"/>
  <c r="G3" i="2"/>
  <c r="F4" i="2"/>
  <c r="E2" i="2"/>
  <c r="E5" i="2"/>
  <c r="E4" i="2"/>
  <c r="D2" i="2"/>
  <c r="D5" i="2"/>
  <c r="D4" i="2"/>
  <c r="C2" i="2"/>
  <c r="C5" i="2"/>
  <c r="C4" i="2"/>
  <c r="B4" i="2"/>
  <c r="I3" i="2"/>
  <c r="F3" i="2"/>
  <c r="E3" i="2"/>
  <c r="C3" i="2"/>
  <c r="B3" i="1"/>
  <c r="B6" i="1"/>
  <c r="K3" i="9"/>
  <c r="K11" i="8"/>
  <c r="C12" i="8"/>
  <c r="D12" i="8"/>
  <c r="E12" i="8"/>
  <c r="F12" i="8"/>
  <c r="G12" i="8"/>
  <c r="H12" i="8"/>
  <c r="I12" i="8"/>
  <c r="B13" i="8"/>
  <c r="C13" i="8"/>
  <c r="D13" i="8"/>
  <c r="E13" i="8"/>
  <c r="F13" i="8"/>
  <c r="G13" i="8"/>
  <c r="H13" i="8"/>
  <c r="I13" i="8"/>
  <c r="J4" i="5"/>
  <c r="I2" i="5"/>
  <c r="I5" i="5"/>
  <c r="I4" i="5"/>
  <c r="H2" i="5"/>
  <c r="H5" i="5"/>
  <c r="G2" i="5"/>
  <c r="G5" i="5"/>
  <c r="G4" i="5"/>
  <c r="F2" i="5"/>
  <c r="F5" i="5"/>
  <c r="E2" i="5"/>
  <c r="E5" i="5"/>
  <c r="E4" i="5"/>
  <c r="D2" i="5"/>
  <c r="D5" i="5"/>
  <c r="C2" i="5"/>
  <c r="C5" i="5"/>
  <c r="C4" i="5"/>
  <c r="B4" i="5"/>
  <c r="G3" i="5"/>
  <c r="C3" i="5"/>
  <c r="C2" i="6"/>
  <c r="C5" i="6"/>
  <c r="D2" i="6"/>
  <c r="D5" i="6"/>
  <c r="D3" i="6"/>
  <c r="E2" i="6"/>
  <c r="E5" i="6"/>
  <c r="F2" i="6"/>
  <c r="F5" i="6"/>
  <c r="G2" i="6"/>
  <c r="G5" i="6"/>
  <c r="H2" i="6"/>
  <c r="H5" i="6"/>
  <c r="I2" i="6"/>
  <c r="I5" i="6"/>
  <c r="J2" i="6"/>
  <c r="J5" i="6"/>
  <c r="K2" i="6"/>
  <c r="K5" i="6"/>
  <c r="B2" i="6"/>
  <c r="H4" i="6"/>
  <c r="F4" i="6"/>
  <c r="D4" i="6"/>
  <c r="C4" i="6"/>
  <c r="B4" i="6"/>
  <c r="C3" i="1"/>
  <c r="C6" i="1"/>
  <c r="C5" i="1"/>
  <c r="D2" i="1"/>
  <c r="D3" i="1"/>
  <c r="E3" i="1"/>
  <c r="F4" i="1"/>
  <c r="E5" i="1"/>
  <c r="F3" i="1"/>
  <c r="F6" i="1"/>
  <c r="F5" i="1"/>
  <c r="G3" i="1"/>
  <c r="G6" i="1"/>
  <c r="G5" i="1"/>
  <c r="H3" i="1"/>
  <c r="H6" i="1"/>
  <c r="H5" i="1"/>
  <c r="I3" i="1"/>
  <c r="I6" i="1"/>
  <c r="I5" i="1"/>
  <c r="I4" i="1"/>
  <c r="H4" i="1"/>
  <c r="K3" i="3"/>
  <c r="K4" i="3"/>
  <c r="H2" i="3"/>
  <c r="J3" i="3"/>
  <c r="I4" i="3"/>
  <c r="J4" i="3"/>
  <c r="G2" i="3"/>
  <c r="G5" i="3"/>
  <c r="G4" i="3"/>
  <c r="F2" i="3"/>
  <c r="F5" i="3"/>
  <c r="F4" i="3"/>
  <c r="E2" i="3"/>
  <c r="E5" i="3"/>
  <c r="E4" i="3"/>
  <c r="D2" i="3"/>
  <c r="D5" i="3"/>
  <c r="D4" i="3"/>
  <c r="C2" i="3"/>
  <c r="C5" i="3"/>
  <c r="C4" i="3"/>
  <c r="B2" i="3"/>
  <c r="B5" i="3"/>
  <c r="B4" i="3"/>
  <c r="F3" i="3"/>
  <c r="E3" i="3"/>
  <c r="J4" i="4"/>
  <c r="I2" i="4"/>
  <c r="I4" i="4"/>
  <c r="H2" i="4"/>
  <c r="H4" i="4"/>
  <c r="G2" i="4"/>
  <c r="G4" i="4"/>
  <c r="F2" i="4"/>
  <c r="F4" i="4"/>
  <c r="E2" i="4"/>
  <c r="E4" i="4"/>
  <c r="D2" i="4"/>
  <c r="D4" i="4"/>
  <c r="C2" i="4"/>
  <c r="C4" i="4"/>
  <c r="B4" i="4"/>
  <c r="I3" i="4"/>
  <c r="E3" i="4"/>
  <c r="E4" i="1"/>
  <c r="D4" i="1"/>
  <c r="D6" i="1"/>
  <c r="D5" i="1"/>
  <c r="O2" i="3"/>
  <c r="M4" i="15"/>
  <c r="C6" i="21"/>
  <c r="C4" i="21"/>
  <c r="G6" i="22"/>
  <c r="G5" i="22"/>
  <c r="H4" i="22"/>
  <c r="C6" i="22"/>
  <c r="C5" i="22"/>
  <c r="D4" i="22"/>
  <c r="H7" i="23"/>
  <c r="H5" i="23"/>
  <c r="H6" i="23"/>
  <c r="G6" i="24"/>
  <c r="G7" i="24"/>
  <c r="C6" i="24"/>
  <c r="C5" i="24"/>
  <c r="C7" i="24"/>
  <c r="B6" i="9"/>
  <c r="F5" i="2"/>
  <c r="F6" i="22"/>
  <c r="H5" i="3"/>
  <c r="I3" i="3"/>
  <c r="J3" i="6"/>
  <c r="H3" i="6"/>
  <c r="F3" i="6"/>
  <c r="D3" i="5"/>
  <c r="H3" i="5"/>
  <c r="F4" i="15"/>
  <c r="J4" i="15"/>
  <c r="H5" i="14"/>
  <c r="G6" i="14"/>
  <c r="M5" i="14"/>
  <c r="G6" i="13"/>
  <c r="M6" i="13"/>
  <c r="I4" i="16"/>
  <c r="C5" i="16"/>
  <c r="G5" i="16"/>
  <c r="G5" i="17"/>
  <c r="M5" i="17"/>
  <c r="I4" i="19"/>
  <c r="F5" i="19"/>
  <c r="I5" i="19"/>
  <c r="J4" i="19"/>
  <c r="I6" i="19"/>
  <c r="E5" i="19"/>
  <c r="F4" i="19"/>
  <c r="E6" i="19"/>
  <c r="D4" i="21"/>
  <c r="G6" i="20"/>
  <c r="G4" i="20"/>
  <c r="C6" i="20"/>
  <c r="C4" i="20"/>
  <c r="F5" i="21"/>
  <c r="G4" i="21"/>
  <c r="C4" i="22"/>
  <c r="D6" i="23"/>
  <c r="I5" i="23"/>
  <c r="H5" i="24"/>
  <c r="J7" i="24"/>
  <c r="J6" i="24"/>
  <c r="J5" i="24"/>
  <c r="G5" i="24"/>
  <c r="F7" i="24"/>
  <c r="F6" i="24"/>
  <c r="F5" i="24"/>
  <c r="E6" i="1"/>
  <c r="J3" i="4"/>
  <c r="G3" i="4"/>
  <c r="G3" i="3"/>
  <c r="N3" i="6"/>
  <c r="B5" i="6"/>
  <c r="G4" i="15"/>
  <c r="F5" i="15"/>
  <c r="J5" i="15"/>
  <c r="E5" i="14"/>
  <c r="I5" i="14"/>
  <c r="H6" i="14"/>
  <c r="F7" i="13"/>
  <c r="J7" i="13"/>
  <c r="F6" i="17"/>
  <c r="J6" i="17"/>
  <c r="K5" i="18"/>
  <c r="K6" i="18"/>
  <c r="H4" i="20"/>
  <c r="I6" i="23"/>
  <c r="I7" i="23"/>
  <c r="J5" i="23"/>
  <c r="B6" i="22"/>
  <c r="H4" i="3"/>
  <c r="K4" i="6"/>
  <c r="F3" i="4"/>
  <c r="G4" i="6"/>
  <c r="C3" i="4"/>
  <c r="C3" i="3"/>
  <c r="K3" i="1"/>
  <c r="I4" i="6"/>
  <c r="E3" i="5"/>
  <c r="I3" i="5"/>
  <c r="D3" i="4"/>
  <c r="H3" i="4"/>
  <c r="D3" i="3"/>
  <c r="H3" i="3"/>
  <c r="C4" i="1"/>
  <c r="G4" i="1"/>
  <c r="B5" i="1"/>
  <c r="C3" i="6"/>
  <c r="E4" i="6"/>
  <c r="J4" i="6"/>
  <c r="K3" i="6"/>
  <c r="I3" i="6"/>
  <c r="G3" i="6"/>
  <c r="E3" i="6"/>
  <c r="F3" i="5"/>
  <c r="J3" i="5"/>
  <c r="D4" i="5"/>
  <c r="F4" i="5"/>
  <c r="H4" i="5"/>
  <c r="D3" i="2"/>
  <c r="H3" i="2"/>
  <c r="F4" i="9"/>
  <c r="D4" i="15"/>
  <c r="H4" i="15"/>
  <c r="F5" i="14"/>
  <c r="J5" i="14"/>
  <c r="E6" i="14"/>
  <c r="I6" i="14"/>
  <c r="K3" i="2"/>
  <c r="E6" i="13"/>
  <c r="I6" i="13"/>
  <c r="C4" i="16"/>
  <c r="G4" i="16"/>
  <c r="M4" i="16"/>
  <c r="E5" i="16"/>
  <c r="I5" i="16"/>
  <c r="E5" i="17"/>
  <c r="I5" i="17"/>
  <c r="F4" i="18"/>
  <c r="K4" i="18"/>
  <c r="E5" i="18"/>
  <c r="I5" i="18"/>
  <c r="I4" i="18"/>
  <c r="H6" i="18"/>
  <c r="G4" i="19"/>
  <c r="H5" i="19"/>
  <c r="D4" i="20"/>
  <c r="I4" i="20"/>
  <c r="D5" i="20"/>
  <c r="H5" i="20"/>
  <c r="F4" i="21"/>
  <c r="G5" i="21"/>
  <c r="D5" i="23"/>
  <c r="F5" i="23"/>
  <c r="F7" i="23"/>
  <c r="D5" i="24"/>
  <c r="B7" i="23"/>
  <c r="C7" i="23"/>
  <c r="K5" i="25"/>
  <c r="M4" i="26"/>
  <c r="M4" i="28"/>
  <c r="E5" i="25"/>
  <c r="I5" i="25"/>
  <c r="C6" i="25"/>
  <c r="G6" i="25"/>
  <c r="K7" i="25"/>
  <c r="E4" i="26"/>
  <c r="I4" i="26"/>
  <c r="E4" i="28"/>
  <c r="I4" i="28"/>
  <c r="D6" i="25"/>
  <c r="H6" i="25"/>
  <c r="F4" i="26"/>
  <c r="J4" i="26"/>
  <c r="F4" i="28"/>
  <c r="J4" i="28"/>
</calcChain>
</file>

<file path=xl/sharedStrings.xml><?xml version="1.0" encoding="utf-8"?>
<sst xmlns="http://schemas.openxmlformats.org/spreadsheetml/2006/main" count="9525" uniqueCount="975">
  <si>
    <t>i</t>
  </si>
  <si>
    <t>q</t>
  </si>
  <si>
    <t>Сочетания</t>
  </si>
  <si>
    <t>Ряды</t>
  </si>
  <si>
    <t>24X</t>
  </si>
  <si>
    <t>4X2</t>
  </si>
  <si>
    <t>-1,33</t>
  </si>
  <si>
    <t>42X</t>
  </si>
  <si>
    <t>+2,33</t>
  </si>
  <si>
    <t>+1,75</t>
  </si>
  <si>
    <t>023</t>
  </si>
  <si>
    <t>-1,987</t>
  </si>
  <si>
    <t>+1,411</t>
  </si>
  <si>
    <t>032</t>
  </si>
  <si>
    <t>+2,987</t>
  </si>
  <si>
    <t>025</t>
  </si>
  <si>
    <t>520</t>
  </si>
  <si>
    <t>-1,616</t>
  </si>
  <si>
    <t>502</t>
  </si>
  <si>
    <t>+2,616</t>
  </si>
  <si>
    <t>052</t>
  </si>
  <si>
    <t>+1,618</t>
  </si>
  <si>
    <t>035</t>
  </si>
  <si>
    <t>-1,35</t>
  </si>
  <si>
    <t>503</t>
  </si>
  <si>
    <t>+1,74</t>
  </si>
  <si>
    <t>053</t>
  </si>
  <si>
    <t>+2,35</t>
  </si>
  <si>
    <t>532</t>
  </si>
  <si>
    <t>-2,212</t>
  </si>
  <si>
    <t>523</t>
  </si>
  <si>
    <t>+3,215</t>
  </si>
  <si>
    <t>253</t>
  </si>
  <si>
    <t>+1,452</t>
  </si>
  <si>
    <t>3Х пар.7</t>
  </si>
  <si>
    <t>39X</t>
  </si>
  <si>
    <t>-2,2</t>
  </si>
  <si>
    <t>X39</t>
  </si>
  <si>
    <t>+1,45</t>
  </si>
  <si>
    <t>3X9</t>
  </si>
  <si>
    <t>+3,2</t>
  </si>
  <si>
    <t>Муфта</t>
  </si>
  <si>
    <t>179</t>
  </si>
  <si>
    <t>27 и 45</t>
  </si>
  <si>
    <t>459</t>
  </si>
  <si>
    <t>495</t>
  </si>
  <si>
    <t>279</t>
  </si>
  <si>
    <t>-2,426</t>
  </si>
  <si>
    <t>+3,427</t>
  </si>
  <si>
    <t>549</t>
  </si>
  <si>
    <t>+1,41</t>
  </si>
  <si>
    <t>082</t>
  </si>
  <si>
    <t>083</t>
  </si>
  <si>
    <t>34 пар.7</t>
  </si>
  <si>
    <t>349</t>
  </si>
  <si>
    <t>493</t>
  </si>
  <si>
    <t>439</t>
  </si>
  <si>
    <t>59X</t>
  </si>
  <si>
    <t>X59</t>
  </si>
  <si>
    <t>5X9</t>
  </si>
  <si>
    <t>Основа</t>
  </si>
  <si>
    <t>-1,944</t>
  </si>
  <si>
    <t>+2,94</t>
  </si>
  <si>
    <t>+1,5</t>
  </si>
  <si>
    <t>-3,159</t>
  </si>
  <si>
    <t>+1,26</t>
  </si>
  <si>
    <t>+2,55</t>
  </si>
  <si>
    <t>079</t>
  </si>
  <si>
    <t>2X пар.7</t>
  </si>
  <si>
    <t>249</t>
  </si>
  <si>
    <t>29X</t>
  </si>
  <si>
    <t>4X9</t>
  </si>
  <si>
    <t>49X</t>
  </si>
  <si>
    <t>+3,92</t>
  </si>
  <si>
    <t>+1,34</t>
  </si>
  <si>
    <t>-1,465</t>
  </si>
  <si>
    <t>X29</t>
  </si>
  <si>
    <t>+1,682</t>
  </si>
  <si>
    <t>2X9</t>
  </si>
  <si>
    <t>+2,465</t>
  </si>
  <si>
    <t>-3,285</t>
  </si>
  <si>
    <t>+4,285</t>
  </si>
  <si>
    <t>94X</t>
  </si>
  <si>
    <t>+1,304</t>
  </si>
  <si>
    <t>-2,92</t>
  </si>
  <si>
    <t>3X и 47</t>
  </si>
  <si>
    <t>479</t>
  </si>
  <si>
    <t>-1,025</t>
  </si>
  <si>
    <t>93X</t>
  </si>
  <si>
    <t>+2,025</t>
  </si>
  <si>
    <t>+1,975</t>
  </si>
  <si>
    <t>5X и 47</t>
  </si>
  <si>
    <t>9X3</t>
  </si>
  <si>
    <t>-1,472</t>
  </si>
  <si>
    <t>95X</t>
  </si>
  <si>
    <t>+2,332</t>
  </si>
  <si>
    <t>+2,472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</si>
  <si>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</si>
  <si>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</si>
  <si>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</si>
  <si>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</si>
  <si>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</si>
  <si>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</si>
  <si>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+2,516</t>
  </si>
  <si>
    <t>250</t>
  </si>
  <si>
    <t>+1,659</t>
  </si>
  <si>
    <t>X42</t>
  </si>
  <si>
    <t>+7,02</t>
  </si>
  <si>
    <t>50</t>
  </si>
  <si>
    <t>029</t>
  </si>
  <si>
    <t>059</t>
  </si>
  <si>
    <t>3Х пар.2</t>
  </si>
  <si>
    <t>22,5</t>
  </si>
  <si>
    <t>39,27</t>
  </si>
  <si>
    <t>62,39</t>
  </si>
  <si>
    <t>043</t>
  </si>
  <si>
    <t>245</t>
  </si>
  <si>
    <t>25X</t>
  </si>
  <si>
    <t>45X</t>
  </si>
  <si>
    <t>35 и 48</t>
  </si>
  <si>
    <t>359</t>
  </si>
  <si>
    <t xml:space="preserve">Муфта </t>
  </si>
  <si>
    <t>072</t>
  </si>
  <si>
    <t>430</t>
  </si>
  <si>
    <t>403</t>
  </si>
  <si>
    <t>340</t>
  </si>
  <si>
    <t>452</t>
  </si>
  <si>
    <t>425</t>
  </si>
  <si>
    <t>52X</t>
  </si>
  <si>
    <t>-3,474</t>
  </si>
  <si>
    <t>5X2</t>
  </si>
  <si>
    <t>+4,474</t>
  </si>
  <si>
    <t>X52</t>
  </si>
  <si>
    <t>+1,288</t>
  </si>
  <si>
    <t>X54</t>
  </si>
  <si>
    <t>4X5</t>
  </si>
  <si>
    <t>X45</t>
  </si>
  <si>
    <t>953</t>
  </si>
  <si>
    <t>935</t>
  </si>
  <si>
    <t>45,45</t>
  </si>
  <si>
    <t>54,46</t>
  </si>
  <si>
    <t>66,69</t>
  </si>
  <si>
    <t>-2,741</t>
  </si>
  <si>
    <t>+3,741</t>
  </si>
  <si>
    <t>+1,365</t>
  </si>
  <si>
    <t>-2,226</t>
  </si>
  <si>
    <t>+3,226</t>
  </si>
  <si>
    <t>+1,449</t>
  </si>
  <si>
    <t>-11,21</t>
  </si>
  <si>
    <t>+1,08</t>
  </si>
  <si>
    <t>+12,21</t>
  </si>
  <si>
    <t>-1,728</t>
  </si>
  <si>
    <t>+2,728</t>
  </si>
  <si>
    <t>+1,578</t>
  </si>
  <si>
    <t>-3,602</t>
  </si>
  <si>
    <t>+4,671</t>
  </si>
  <si>
    <t>395</t>
  </si>
  <si>
    <t>+1,272</t>
  </si>
  <si>
    <t>075</t>
  </si>
  <si>
    <t>35X</t>
  </si>
  <si>
    <t>024</t>
  </si>
  <si>
    <t>034</t>
  </si>
  <si>
    <t>234</t>
  </si>
  <si>
    <t>16,7174</t>
  </si>
  <si>
    <t>33,2773</t>
  </si>
  <si>
    <t>41,7634</t>
  </si>
  <si>
    <t>58,315</t>
  </si>
  <si>
    <t>75,1969</t>
  </si>
  <si>
    <t>45 пар 8</t>
  </si>
  <si>
    <t>089</t>
  </si>
  <si>
    <t>-3,04</t>
  </si>
  <si>
    <t>+4,516</t>
  </si>
  <si>
    <t>945</t>
  </si>
  <si>
    <t>+1,329</t>
  </si>
  <si>
    <t>-2,962</t>
  </si>
  <si>
    <t>X35</t>
  </si>
  <si>
    <t>+1,338</t>
  </si>
  <si>
    <t>3X5</t>
  </si>
  <si>
    <t>+3,962</t>
  </si>
  <si>
    <t>-2,03</t>
  </si>
  <si>
    <t>302</t>
  </si>
  <si>
    <t>+1,492</t>
  </si>
  <si>
    <t>230</t>
  </si>
  <si>
    <t>+3,03</t>
  </si>
  <si>
    <t>420</t>
  </si>
  <si>
    <t>402</t>
  </si>
  <si>
    <t>240</t>
  </si>
  <si>
    <t>-1,03</t>
  </si>
  <si>
    <t>+2,03</t>
  </si>
  <si>
    <t>+1,97</t>
  </si>
  <si>
    <t>432</t>
  </si>
  <si>
    <t>-3,122</t>
  </si>
  <si>
    <t>423</t>
  </si>
  <si>
    <t>+4,122</t>
  </si>
  <si>
    <t>243</t>
  </si>
  <si>
    <t>+1,32</t>
  </si>
  <si>
    <t>4X пар 8</t>
  </si>
  <si>
    <t>-5,07</t>
  </si>
  <si>
    <t>+6,07</t>
  </si>
  <si>
    <t>+1,19</t>
  </si>
  <si>
    <t>2X пар 8</t>
  </si>
  <si>
    <t>-1,003</t>
  </si>
  <si>
    <t>+2,003</t>
  </si>
  <si>
    <t>92X</t>
  </si>
  <si>
    <t>+2,000</t>
  </si>
  <si>
    <t>3X пар 8</t>
  </si>
  <si>
    <t>-2,000</t>
  </si>
  <si>
    <t>+3,000</t>
  </si>
  <si>
    <t>+1,503</t>
  </si>
  <si>
    <t>-1,01</t>
  </si>
  <si>
    <t>+1,990</t>
  </si>
  <si>
    <t>+2,010</t>
  </si>
  <si>
    <t>+1,337</t>
  </si>
  <si>
    <t>9X5</t>
  </si>
  <si>
    <t>-1,990</t>
  </si>
  <si>
    <t>+2,990</t>
  </si>
  <si>
    <t>+1,502</t>
  </si>
  <si>
    <t>28 и 3X</t>
  </si>
  <si>
    <t>289</t>
  </si>
  <si>
    <t>X93</t>
  </si>
  <si>
    <t>-1,017</t>
  </si>
  <si>
    <t>+2,017</t>
  </si>
  <si>
    <t>+1,983</t>
  </si>
  <si>
    <t>-1,969</t>
  </si>
  <si>
    <t>+2,969</t>
  </si>
  <si>
    <t>-2,961</t>
  </si>
  <si>
    <t>539</t>
  </si>
  <si>
    <t>+1,507</t>
  </si>
  <si>
    <t>-1,000</t>
  </si>
  <si>
    <t>X95</t>
  </si>
  <si>
    <t>28 и 4X</t>
  </si>
  <si>
    <t>-4,102</t>
  </si>
  <si>
    <t>X49</t>
  </si>
  <si>
    <t>+1,246</t>
  </si>
  <si>
    <t>+5,192</t>
  </si>
  <si>
    <t>Вариант 7</t>
  </si>
  <si>
    <t>38 и 4X</t>
  </si>
  <si>
    <t>389</t>
  </si>
  <si>
    <t>-1,548</t>
  </si>
  <si>
    <t>+1,646</t>
  </si>
  <si>
    <t>+2,548</t>
  </si>
  <si>
    <t>Вариант 8</t>
  </si>
  <si>
    <t>38 и 2X</t>
  </si>
  <si>
    <t>-1,02</t>
  </si>
  <si>
    <t>X92</t>
  </si>
  <si>
    <t>9X2</t>
  </si>
  <si>
    <t>+2,016</t>
  </si>
  <si>
    <t>Вариант 9</t>
  </si>
  <si>
    <t>48 и 2X</t>
  </si>
  <si>
    <t>489</t>
  </si>
  <si>
    <t>-4,054</t>
  </si>
  <si>
    <t>+5,054</t>
  </si>
  <si>
    <t>48 и 3X</t>
  </si>
  <si>
    <t>Вариант 10</t>
  </si>
  <si>
    <t>-2,070</t>
  </si>
  <si>
    <t>593</t>
  </si>
  <si>
    <t>+1,483</t>
  </si>
  <si>
    <t>3,070</t>
  </si>
  <si>
    <t>-1,580</t>
  </si>
  <si>
    <t>-9,095</t>
  </si>
  <si>
    <t>+1,110</t>
  </si>
  <si>
    <t>+10,100</t>
  </si>
  <si>
    <t>38 и 45</t>
  </si>
  <si>
    <t>-2,07</t>
  </si>
  <si>
    <t>+3,070</t>
  </si>
  <si>
    <t>Вариант 11</t>
  </si>
  <si>
    <t>28 и 45</t>
  </si>
  <si>
    <t>-8,118</t>
  </si>
  <si>
    <t>+1,123</t>
  </si>
  <si>
    <t>+9,118</t>
  </si>
  <si>
    <t>Вариант 12</t>
  </si>
  <si>
    <t>Вариант 13</t>
  </si>
  <si>
    <t>8X и 45</t>
  </si>
  <si>
    <t>98X</t>
  </si>
  <si>
    <t>-9,090</t>
  </si>
  <si>
    <t>+10,094</t>
  </si>
  <si>
    <t>+11,100</t>
  </si>
  <si>
    <t>Вариант 14</t>
  </si>
  <si>
    <t>58 пар. 2</t>
  </si>
  <si>
    <t>039</t>
  </si>
  <si>
    <t>049</t>
  </si>
  <si>
    <t>239</t>
  </si>
  <si>
    <t>589</t>
  </si>
  <si>
    <t>8X пар. 2</t>
  </si>
  <si>
    <t>X89</t>
  </si>
  <si>
    <t>Вариант 15</t>
  </si>
  <si>
    <t>092</t>
  </si>
  <si>
    <t>-2,977</t>
  </si>
  <si>
    <t>209</t>
  </si>
  <si>
    <t>+1,40</t>
  </si>
  <si>
    <t>+4,000</t>
  </si>
  <si>
    <t>390</t>
  </si>
  <si>
    <t>309</t>
  </si>
  <si>
    <t>409</t>
  </si>
  <si>
    <t>-3,109</t>
  </si>
  <si>
    <t>+4,121</t>
  </si>
  <si>
    <t>490</t>
  </si>
  <si>
    <t>+1,318</t>
  </si>
  <si>
    <t>329</t>
  </si>
  <si>
    <t>-1,959</t>
  </si>
  <si>
    <t>392</t>
  </si>
  <si>
    <t>+3,002</t>
  </si>
  <si>
    <t>932</t>
  </si>
  <si>
    <t>+1,516</t>
  </si>
  <si>
    <t>429</t>
  </si>
  <si>
    <t>-8,302</t>
  </si>
  <si>
    <t>942</t>
  </si>
  <si>
    <t>+1,126</t>
  </si>
  <si>
    <t>492</t>
  </si>
  <si>
    <t>+9,221</t>
  </si>
  <si>
    <t>943</t>
  </si>
  <si>
    <t>+3,088</t>
  </si>
  <si>
    <t>290</t>
  </si>
  <si>
    <t>-5,070</t>
  </si>
  <si>
    <t>+6,207</t>
  </si>
  <si>
    <t>+1,197</t>
  </si>
  <si>
    <t>923</t>
  </si>
  <si>
    <t>-2,430</t>
  </si>
  <si>
    <t>+1,645</t>
  </si>
  <si>
    <t>18,5523</t>
  </si>
  <si>
    <t>76,06</t>
  </si>
  <si>
    <t>32,5</t>
  </si>
  <si>
    <t>39,982</t>
  </si>
  <si>
    <t>57,37</t>
  </si>
  <si>
    <t>+3,604</t>
  </si>
  <si>
    <t>+1,155</t>
  </si>
  <si>
    <t>23X</t>
  </si>
  <si>
    <t>2X3</t>
  </si>
  <si>
    <t>-2,604</t>
  </si>
  <si>
    <t>32X</t>
  </si>
  <si>
    <t>+1,384</t>
  </si>
  <si>
    <t>5X4</t>
  </si>
  <si>
    <t>-1,950</t>
  </si>
  <si>
    <t>54X</t>
  </si>
  <si>
    <t>+2,950</t>
  </si>
  <si>
    <t>+1,768</t>
  </si>
  <si>
    <t>2,301</t>
  </si>
  <si>
    <t>23 пар 8</t>
  </si>
  <si>
    <t>1,700</t>
  </si>
  <si>
    <t>+2,428</t>
  </si>
  <si>
    <t>-4,380</t>
  </si>
  <si>
    <t>+1,228</t>
  </si>
  <si>
    <t>+5,381</t>
  </si>
  <si>
    <t>-2,067</t>
  </si>
  <si>
    <t>+1,484</t>
  </si>
  <si>
    <t>+3,067</t>
  </si>
  <si>
    <t>+5,264</t>
  </si>
  <si>
    <t>+1,234</t>
  </si>
  <si>
    <t>-4,436</t>
  </si>
  <si>
    <t>+1,225</t>
  </si>
  <si>
    <t>+5,393</t>
  </si>
  <si>
    <t>-1,264</t>
  </si>
  <si>
    <t>+2,275</t>
  </si>
  <si>
    <t>1,784</t>
  </si>
  <si>
    <t>6,9564</t>
  </si>
  <si>
    <t>18,8382</t>
  </si>
  <si>
    <t>25,7389</t>
  </si>
  <si>
    <t>29,9157</t>
  </si>
  <si>
    <t>40</t>
  </si>
  <si>
    <t>44,6663</t>
  </si>
  <si>
    <t>61,3633</t>
  </si>
  <si>
    <t>8X пар 4</t>
  </si>
  <si>
    <t>-2,332</t>
  </si>
  <si>
    <t>+3,332</t>
  </si>
  <si>
    <t>+1,429</t>
  </si>
  <si>
    <t>-2,066</t>
  </si>
  <si>
    <t>+2,066</t>
  </si>
  <si>
    <t>34X</t>
  </si>
  <si>
    <t>-3,111</t>
  </si>
  <si>
    <t>X34</t>
  </si>
  <si>
    <t>+1,360</t>
  </si>
  <si>
    <t>3X4</t>
  </si>
  <si>
    <t>+3,778</t>
  </si>
  <si>
    <t>074</t>
  </si>
  <si>
    <t>094</t>
  </si>
  <si>
    <t>-2,093</t>
  </si>
  <si>
    <t>+1,477</t>
  </si>
  <si>
    <t>+3,093</t>
  </si>
  <si>
    <t>+2,113</t>
  </si>
  <si>
    <t>+1,898</t>
  </si>
  <si>
    <t>+1,554</t>
  </si>
  <si>
    <t>+2,805</t>
  </si>
  <si>
    <t>9X4</t>
  </si>
  <si>
    <t>+1,478</t>
  </si>
  <si>
    <t>25 и 48</t>
  </si>
  <si>
    <t>259</t>
  </si>
  <si>
    <t>529</t>
  </si>
  <si>
    <t>-5,033</t>
  </si>
  <si>
    <t>592</t>
  </si>
  <si>
    <t>952</t>
  </si>
  <si>
    <t>+6,033</t>
  </si>
  <si>
    <t>+1,199</t>
  </si>
  <si>
    <t>-1,158</t>
  </si>
  <si>
    <t>+1,863</t>
  </si>
  <si>
    <t>+2,158</t>
  </si>
  <si>
    <t>-5,210</t>
  </si>
  <si>
    <t>+1,192</t>
  </si>
  <si>
    <t>6,210</t>
  </si>
  <si>
    <t>нет звена 9</t>
  </si>
  <si>
    <t>нет звена 4</t>
  </si>
  <si>
    <t>нет звена 0</t>
  </si>
  <si>
    <t>4R93-14-1-A(10+1)</t>
  </si>
  <si>
    <t>4R93-14-2-A(10+1)</t>
  </si>
  <si>
    <t>4R93-14-3-A(10+1)</t>
  </si>
  <si>
    <t>4R93-14-4-A(10+1)</t>
  </si>
  <si>
    <t>4R93-14-5-A(9+1)</t>
  </si>
  <si>
    <t>4R93-14-6-A(9+1)</t>
  </si>
  <si>
    <t>4R93-14-7-A(9+1)</t>
  </si>
  <si>
    <t xml:space="preserve">Ряд 35Х связан с остальными рядами только с помощью блокировочных муфт </t>
  </si>
  <si>
    <t>4R93-14-8-A(9+1)</t>
  </si>
  <si>
    <t>4R93-14-9-A(9+1)</t>
  </si>
  <si>
    <t>4R93-14-10-A(9+1)</t>
  </si>
  <si>
    <t>Нет звена 0</t>
  </si>
  <si>
    <t>4R93-14-11-A(9+1)</t>
  </si>
  <si>
    <t>4R93-14-12-A(9+1)</t>
  </si>
  <si>
    <t>4R93-14-13-A(10+1)</t>
  </si>
  <si>
    <t>4R93-14-14-A(10+1)</t>
  </si>
  <si>
    <t>2X4</t>
  </si>
  <si>
    <t>-2,57</t>
  </si>
  <si>
    <t>+3,57</t>
  </si>
  <si>
    <t>+1,39</t>
  </si>
  <si>
    <t>320</t>
  </si>
  <si>
    <t>-1,617</t>
  </si>
  <si>
    <t>305</t>
  </si>
  <si>
    <t>-2,21</t>
  </si>
  <si>
    <t>57 и 3X</t>
  </si>
  <si>
    <t>57 и 34</t>
  </si>
  <si>
    <t>294</t>
  </si>
  <si>
    <t>-1,17</t>
  </si>
  <si>
    <t>-3,00</t>
  </si>
  <si>
    <t>-1,866</t>
  </si>
  <si>
    <t>185</t>
  </si>
  <si>
    <t>-6,53</t>
  </si>
  <si>
    <t>394</t>
  </si>
  <si>
    <t>-2,56</t>
  </si>
  <si>
    <t>-4,85</t>
  </si>
  <si>
    <t>-1,96</t>
  </si>
  <si>
    <t>579</t>
  </si>
  <si>
    <t>-3,97</t>
  </si>
  <si>
    <t>4R82-1-1-A (8+3)</t>
  </si>
  <si>
    <t>4R82-1-2-A (8+3)</t>
  </si>
  <si>
    <t>4R82-1-2-B (8+3)</t>
  </si>
  <si>
    <t>4R82-1-3-A (8+3)</t>
  </si>
  <si>
    <t>4R82-1-3-B (8+3)</t>
  </si>
  <si>
    <t>4R82-3-1-A (8+3)</t>
  </si>
  <si>
    <t>47 и 3X</t>
  </si>
  <si>
    <t>205</t>
  </si>
  <si>
    <t>350</t>
  </si>
  <si>
    <t>55,57</t>
  </si>
  <si>
    <t>61,85</t>
  </si>
  <si>
    <t>51,00</t>
  </si>
  <si>
    <t>15,5</t>
  </si>
  <si>
    <t>36,6</t>
  </si>
  <si>
    <t>44,94</t>
  </si>
  <si>
    <t>-1,45</t>
  </si>
  <si>
    <t>-4,00</t>
  </si>
  <si>
    <t>-5,46</t>
  </si>
  <si>
    <t>-1,64</t>
  </si>
  <si>
    <t>509</t>
  </si>
  <si>
    <t>-2,33</t>
  </si>
  <si>
    <t>-1,16</t>
  </si>
  <si>
    <t>-1,66</t>
  </si>
  <si>
    <t>-4,61</t>
  </si>
  <si>
    <t>Передаточное отношение на передаче ЗХ равно 2,00</t>
  </si>
  <si>
    <t>4R82-3-2-A (8+3)</t>
  </si>
  <si>
    <t xml:space="preserve"> </t>
  </si>
  <si>
    <t>50,82</t>
  </si>
  <si>
    <t>44,08</t>
  </si>
  <si>
    <t>-1,247</t>
  </si>
  <si>
    <t>-1,540</t>
  </si>
  <si>
    <t>-1,08</t>
  </si>
  <si>
    <t>-2,753</t>
  </si>
  <si>
    <t>-2,24</t>
  </si>
  <si>
    <t>-6,83</t>
  </si>
  <si>
    <t>-1,84</t>
  </si>
  <si>
    <t>345</t>
  </si>
  <si>
    <t>-2,326</t>
  </si>
  <si>
    <t>235</t>
  </si>
  <si>
    <t>045</t>
  </si>
  <si>
    <t>-2,00</t>
  </si>
  <si>
    <t>-2,926</t>
  </si>
  <si>
    <t>530</t>
  </si>
  <si>
    <t>-1,12</t>
  </si>
  <si>
    <t>540</t>
  </si>
  <si>
    <t>-1,56</t>
  </si>
  <si>
    <t>342</t>
  </si>
  <si>
    <t>-2,43</t>
  </si>
  <si>
    <t>542</t>
  </si>
  <si>
    <t>-2,06</t>
  </si>
  <si>
    <t>534</t>
  </si>
  <si>
    <t>-1,19</t>
  </si>
  <si>
    <t>4X пар.7</t>
  </si>
  <si>
    <t>-1,11</t>
  </si>
  <si>
    <t>3X пар.7</t>
  </si>
  <si>
    <t>-1,55</t>
  </si>
  <si>
    <t>57 и 4X</t>
  </si>
  <si>
    <t>28X</t>
  </si>
  <si>
    <t>В планетарные ряды не вошло звено 5</t>
  </si>
  <si>
    <t>В планетарные ряды не вошло звено 2</t>
  </si>
  <si>
    <t>В планетарные ряды не вошло звено 0</t>
  </si>
  <si>
    <t>4R83-1-1-A (8+3)</t>
  </si>
  <si>
    <t>4R83-1-2-A (8+3)</t>
  </si>
  <si>
    <t>4R83-1-3-A (8+3)</t>
  </si>
  <si>
    <t>4R83-1-4-A (8+3)</t>
  </si>
  <si>
    <t>4R83-1-5-A (8+3)</t>
  </si>
  <si>
    <t>4R83-1-6-A (8+3)</t>
  </si>
  <si>
    <t>4R83-1-7-A (8+3)</t>
  </si>
  <si>
    <t>4R83-1-8-A (8+3)</t>
  </si>
  <si>
    <t>4R83-1-9-A (8+3)</t>
  </si>
  <si>
    <t>4R83-3-1-A (8+2)</t>
  </si>
  <si>
    <t>12,93</t>
  </si>
  <si>
    <t>32,3241</t>
  </si>
  <si>
    <t>45,12</t>
  </si>
  <si>
    <t>61,36</t>
  </si>
  <si>
    <t>-1,81</t>
  </si>
  <si>
    <t>-2,77</t>
  </si>
  <si>
    <t>53X</t>
  </si>
  <si>
    <t>-7,81</t>
  </si>
  <si>
    <t>2X и 48</t>
  </si>
  <si>
    <t>29Х</t>
  </si>
  <si>
    <t>-1,25</t>
  </si>
  <si>
    <t>34 пар. 8</t>
  </si>
  <si>
    <t>34Х</t>
  </si>
  <si>
    <t>45Х</t>
  </si>
  <si>
    <t>49Х</t>
  </si>
  <si>
    <t>35Х</t>
  </si>
  <si>
    <t>39Х</t>
  </si>
  <si>
    <t>59Х</t>
  </si>
  <si>
    <t>934</t>
  </si>
  <si>
    <t>-2,53</t>
  </si>
  <si>
    <t>-2,10</t>
  </si>
  <si>
    <t>-1,80</t>
  </si>
  <si>
    <t>-4,21</t>
  </si>
  <si>
    <t>В планетарные ряды не вошло звено 9</t>
  </si>
  <si>
    <t>Планетарный ряд 023 не связан ни с одним другим рядом</t>
  </si>
  <si>
    <t>Планетарный ряд 39Х не связан ни с одним другим рядом</t>
  </si>
  <si>
    <t>В планетарные ряды не вошло звено 4</t>
  </si>
  <si>
    <t>4R94-2-1-A</t>
  </si>
  <si>
    <t>4R94-2-2-A</t>
  </si>
  <si>
    <t>4R94-2-3-A</t>
  </si>
  <si>
    <t>d=</t>
  </si>
  <si>
    <t>45,1176</t>
  </si>
  <si>
    <t>-4,34</t>
  </si>
  <si>
    <t>384</t>
  </si>
  <si>
    <t>2X и 45</t>
  </si>
  <si>
    <t>34 пар. 5</t>
  </si>
  <si>
    <t>-1,28</t>
  </si>
  <si>
    <t>590</t>
  </si>
  <si>
    <t>-1,94</t>
  </si>
  <si>
    <t>-3,91</t>
  </si>
  <si>
    <t>-1,50</t>
  </si>
  <si>
    <t>4R95-2-1-A</t>
  </si>
  <si>
    <t>4R95-2-2-A</t>
  </si>
  <si>
    <t>4R95-2-3-A</t>
  </si>
  <si>
    <t>23 пар. 5</t>
  </si>
  <si>
    <t>095</t>
  </si>
  <si>
    <t>-1,65</t>
  </si>
  <si>
    <t>-3,92</t>
  </si>
  <si>
    <t>-1,27</t>
  </si>
  <si>
    <t>-8,89</t>
  </si>
  <si>
    <t>Планетарный ряд 095 не связан ни с одним другим рядом</t>
  </si>
  <si>
    <t>В планетарные ряды не вошло звено Х</t>
  </si>
  <si>
    <t>D=</t>
  </si>
  <si>
    <t>-6,80</t>
  </si>
  <si>
    <t>45 пар. Х</t>
  </si>
  <si>
    <t>09X</t>
  </si>
  <si>
    <t>0X9</t>
  </si>
  <si>
    <t>-2,49</t>
  </si>
  <si>
    <t>24 пар. Х</t>
  </si>
  <si>
    <t>34 пар. Х</t>
  </si>
  <si>
    <t>9X0</t>
  </si>
  <si>
    <t>-1,95</t>
  </si>
  <si>
    <t>25 пар. 4</t>
  </si>
  <si>
    <t>-1,00</t>
  </si>
  <si>
    <t>2X пар. 4</t>
  </si>
  <si>
    <t>-1,51</t>
  </si>
  <si>
    <t>-2,01</t>
  </si>
  <si>
    <t>-5,87</t>
  </si>
  <si>
    <t>3X пар. 4</t>
  </si>
  <si>
    <t>4X пар. 2</t>
  </si>
  <si>
    <t>-2,52</t>
  </si>
  <si>
    <t>-1,67</t>
  </si>
  <si>
    <t>2X и 34</t>
  </si>
  <si>
    <t>-6,30</t>
  </si>
  <si>
    <t>-1,79</t>
  </si>
  <si>
    <t>1,03</t>
  </si>
  <si>
    <t>45 пар. X</t>
  </si>
  <si>
    <t>-3,50</t>
  </si>
  <si>
    <t>-1,32</t>
  </si>
  <si>
    <t>24 пар. X</t>
  </si>
  <si>
    <t>-1,26</t>
  </si>
  <si>
    <t>-5,09</t>
  </si>
  <si>
    <t>34 пар. X</t>
  </si>
  <si>
    <t>4X0</t>
  </si>
  <si>
    <t>295</t>
  </si>
  <si>
    <t>-4,04</t>
  </si>
  <si>
    <t>-9,13</t>
  </si>
  <si>
    <t>-1,20</t>
  </si>
  <si>
    <t>-4,50</t>
  </si>
  <si>
    <t>35 пар. 4</t>
  </si>
  <si>
    <t>2,00</t>
  </si>
  <si>
    <t>1,50</t>
  </si>
  <si>
    <t>-1,62</t>
  </si>
  <si>
    <t>4X и 35</t>
  </si>
  <si>
    <t>-4,97</t>
  </si>
  <si>
    <t>45 и 3X</t>
  </si>
  <si>
    <t>-11,69</t>
  </si>
  <si>
    <t>-11,65</t>
  </si>
  <si>
    <t>-1,85</t>
  </si>
  <si>
    <t>-1,31</t>
  </si>
  <si>
    <t>4R101-1-1-A</t>
  </si>
  <si>
    <t>48 пар 2</t>
  </si>
  <si>
    <t>-3,58</t>
  </si>
  <si>
    <t>1,11</t>
  </si>
  <si>
    <t>-1,98</t>
  </si>
  <si>
    <t>-1,40</t>
  </si>
  <si>
    <t>-4,59</t>
  </si>
  <si>
    <t>5X пар. 4</t>
  </si>
  <si>
    <t>-8,57</t>
  </si>
  <si>
    <t>-1,23</t>
  </si>
  <si>
    <t>-14,89</t>
  </si>
  <si>
    <t>-3,77</t>
  </si>
  <si>
    <t>3,63</t>
  </si>
  <si>
    <t>-1,54</t>
  </si>
  <si>
    <t>45 пар. 2</t>
  </si>
  <si>
    <t>-2,80</t>
  </si>
  <si>
    <t>-2,72</t>
  </si>
  <si>
    <t>57,3713</t>
  </si>
  <si>
    <t>47X</t>
  </si>
  <si>
    <t>-8,51</t>
  </si>
  <si>
    <t>204</t>
  </si>
  <si>
    <t>-3,07</t>
  </si>
  <si>
    <t>-1,30</t>
  </si>
  <si>
    <t>-1,36</t>
  </si>
  <si>
    <t>3,00</t>
  </si>
  <si>
    <t>2X пар.8</t>
  </si>
  <si>
    <t>5X пар.8</t>
  </si>
  <si>
    <t>28 и 35</t>
  </si>
  <si>
    <t>48 и 35</t>
  </si>
  <si>
    <t>38 и 5X</t>
  </si>
  <si>
    <t>189</t>
  </si>
  <si>
    <t>-4,39</t>
  </si>
  <si>
    <t>293</t>
  </si>
  <si>
    <t>-10,13</t>
  </si>
  <si>
    <t>-6,78</t>
  </si>
  <si>
    <t>-2,27</t>
  </si>
  <si>
    <t>-4,52</t>
  </si>
  <si>
    <t>-4,19</t>
  </si>
  <si>
    <t>4R104-1-1-A</t>
  </si>
  <si>
    <t>4R104-1-2-A</t>
  </si>
  <si>
    <t>27Х</t>
  </si>
  <si>
    <t>-2,54</t>
  </si>
  <si>
    <t>4,70</t>
  </si>
  <si>
    <t>504</t>
  </si>
  <si>
    <t>524</t>
  </si>
  <si>
    <t>23 и 4X</t>
  </si>
  <si>
    <t>-1,60</t>
  </si>
  <si>
    <t>-14,16</t>
  </si>
  <si>
    <t>5X пар. 3</t>
  </si>
  <si>
    <t>-11,16</t>
  </si>
  <si>
    <t>-1,72</t>
  </si>
  <si>
    <t>3X пар. 2</t>
  </si>
  <si>
    <t>-1,43</t>
  </si>
  <si>
    <t>-2,28</t>
  </si>
  <si>
    <t>-4,10</t>
  </si>
  <si>
    <t>-6,76</t>
  </si>
  <si>
    <t>-8,34</t>
  </si>
  <si>
    <t>-17,70</t>
  </si>
  <si>
    <t>494</t>
  </si>
  <si>
    <t>-1,89</t>
  </si>
  <si>
    <t>Планетарный ряд 3X9 не связан ни с одним другим рядом</t>
  </si>
  <si>
    <t>594</t>
  </si>
  <si>
    <t>4R99-3-1-A</t>
  </si>
  <si>
    <t>4R99-3-2-A</t>
  </si>
  <si>
    <t>4R99-3-3-A</t>
  </si>
  <si>
    <t>4R99-3-4-A</t>
  </si>
  <si>
    <t>4R99-3-5-A</t>
  </si>
  <si>
    <t>4R99-3-6-A</t>
  </si>
  <si>
    <t>-8,84</t>
  </si>
  <si>
    <t>4X пар. 3</t>
  </si>
  <si>
    <t>-1,14</t>
  </si>
  <si>
    <t>-4,98</t>
  </si>
  <si>
    <t>-8,80</t>
  </si>
  <si>
    <t>35 и 4X</t>
  </si>
  <si>
    <t>-5,08</t>
  </si>
  <si>
    <t>-6,46</t>
  </si>
  <si>
    <t>-3,35</t>
  </si>
  <si>
    <t>093</t>
  </si>
  <si>
    <t>-1,13</t>
  </si>
  <si>
    <t>-7,20</t>
  </si>
  <si>
    <t>-8,16</t>
  </si>
  <si>
    <t>-1,49</t>
  </si>
  <si>
    <t>29,28</t>
  </si>
  <si>
    <t>45,6</t>
  </si>
  <si>
    <t>60,19</t>
  </si>
  <si>
    <t>385</t>
  </si>
  <si>
    <t>-1,73</t>
  </si>
  <si>
    <t>485</t>
  </si>
  <si>
    <t>352</t>
  </si>
  <si>
    <t>-2,82</t>
  </si>
  <si>
    <t>085</t>
  </si>
  <si>
    <t xml:space="preserve"> -1,6</t>
  </si>
  <si>
    <t xml:space="preserve"> -1,60</t>
  </si>
  <si>
    <t>4R82-1-4-A (8+3)</t>
  </si>
  <si>
    <t>-1,6</t>
  </si>
  <si>
    <t>4R82-1-5-A (8+3)</t>
  </si>
  <si>
    <t>4R82-1-6-A (8+3)</t>
  </si>
  <si>
    <t>4R82-1-7-A (8+3)</t>
  </si>
  <si>
    <t>4R82-1-8-A (8+3)</t>
  </si>
  <si>
    <t>4R82-1-9-A (8+3)</t>
  </si>
  <si>
    <t>4R82-1-10-A (8+3)</t>
  </si>
  <si>
    <t>4R82-1-11-A (8+3)</t>
  </si>
  <si>
    <t>4R82-1-12-A (8+3)</t>
  </si>
  <si>
    <t>4R82-1-13-A (8+3)</t>
  </si>
  <si>
    <t>4R82-1-21-A (8+3)</t>
  </si>
  <si>
    <t>4R82-1-14-A (8+3)</t>
  </si>
  <si>
    <t>4R82-1-15-A (8+3)</t>
  </si>
  <si>
    <t>4R82-1-16-A (8+3)</t>
  </si>
  <si>
    <t>4R82-1-17-A (8+3)</t>
  </si>
  <si>
    <t>4R82-1-18-A (8+3)</t>
  </si>
  <si>
    <t>4R82-1-19-A (8+3)</t>
  </si>
  <si>
    <t>4R82-1-20-A (8+3)</t>
  </si>
  <si>
    <t>4R82-1-3-C (8+3)</t>
  </si>
  <si>
    <t>Для этого варианта нормальная разбивка передаточных отношений не получается</t>
  </si>
  <si>
    <t>Вариант 16</t>
  </si>
  <si>
    <t>Вариант 17</t>
  </si>
  <si>
    <t>38 пар. 5</t>
  </si>
  <si>
    <t>48 пар. 5</t>
  </si>
  <si>
    <t>8Х пар. 5</t>
  </si>
  <si>
    <t>-1,99</t>
  </si>
  <si>
    <t>950</t>
  </si>
  <si>
    <t>4R93-16-1-A(9+1)</t>
  </si>
  <si>
    <t>4R93-4-1-A(9+1)</t>
  </si>
  <si>
    <t>4R93-4-2-A(9+1)</t>
  </si>
  <si>
    <t>4R93-4-3-A(9+1)</t>
  </si>
  <si>
    <t>4R93-5-1-A(9+1)</t>
  </si>
  <si>
    <t>4R93-5-2-A(9+1)</t>
  </si>
  <si>
    <t>4R93-5-3-A(9+1)</t>
  </si>
  <si>
    <t>4R93-10-2-A(9+1)</t>
  </si>
  <si>
    <t>4R93-10-1-A(9+1)</t>
  </si>
  <si>
    <t>4R93-11-1-A(9+1)</t>
  </si>
  <si>
    <t>4R93-16-2-A(9+1)</t>
  </si>
  <si>
    <t>4R93-16-3-A(9+1)</t>
  </si>
  <si>
    <t>24 пар. 5</t>
  </si>
  <si>
    <t>-1,15</t>
  </si>
  <si>
    <t>4R81-2-1-A</t>
  </si>
  <si>
    <t>4R81-2-2-A</t>
  </si>
  <si>
    <t>4R81-2-3-A</t>
  </si>
  <si>
    <t>4R81-2-4-A</t>
  </si>
  <si>
    <t>4R81-2-6-A</t>
  </si>
  <si>
    <t>4R81-2-5-A</t>
  </si>
  <si>
    <t>4R81-3-1-A</t>
  </si>
  <si>
    <t>4R81-3-3-A</t>
  </si>
  <si>
    <t>4R81-3-2-A</t>
  </si>
  <si>
    <t>4R81-4-1-A</t>
  </si>
  <si>
    <t>4R81-4-2-A</t>
  </si>
  <si>
    <t>4R81-4-3-A</t>
  </si>
  <si>
    <t>4R81-4-4-A</t>
  </si>
  <si>
    <t>4R81-4-5-A; B</t>
  </si>
  <si>
    <t>4R81-4-6-A; B</t>
  </si>
  <si>
    <t>4R81-4-7-A; B</t>
  </si>
  <si>
    <t>4R81-4-8-A; B</t>
  </si>
  <si>
    <t>4R81-4-9-A</t>
  </si>
  <si>
    <t>4R81-4-10-A</t>
  </si>
  <si>
    <t>4R81-4-11-A</t>
  </si>
  <si>
    <t>4R81-4-12-A</t>
  </si>
  <si>
    <t>4R81-4-14-A</t>
  </si>
  <si>
    <t>4R81-4-13-A</t>
  </si>
  <si>
    <t>4R81-4-15-A</t>
  </si>
  <si>
    <t>4R81-4-16-A</t>
  </si>
  <si>
    <t>4R81-4-17-A</t>
  </si>
  <si>
    <t>4R81-4-18-A</t>
  </si>
  <si>
    <t>4R81-4-19-A</t>
  </si>
  <si>
    <t>4R81-4-20-A</t>
  </si>
  <si>
    <t>4R81-4-21-A</t>
  </si>
  <si>
    <t>4R81-4-22-A</t>
  </si>
  <si>
    <t>4R81-4-23-A</t>
  </si>
  <si>
    <t>4R81-4-24-A</t>
  </si>
  <si>
    <t>4R81-4-25-A</t>
  </si>
  <si>
    <t>4R81-4-26-A</t>
  </si>
  <si>
    <t>4R81-4-27-A</t>
  </si>
  <si>
    <t>4R81-4-28-A</t>
  </si>
  <si>
    <t>4R81-4-29-A</t>
  </si>
  <si>
    <t>4R81-4-30-A</t>
  </si>
  <si>
    <t>4R81-4-31-A</t>
  </si>
  <si>
    <t>4R81-4-32-A</t>
  </si>
  <si>
    <t>4R81-4-33-A</t>
  </si>
  <si>
    <t>4R81-6-1-A</t>
  </si>
  <si>
    <t>4R81-6-2-A</t>
  </si>
  <si>
    <t>4R81-6-3-A</t>
  </si>
  <si>
    <t>4R81-6-4-A</t>
  </si>
  <si>
    <t>4R81-6-5-A</t>
  </si>
  <si>
    <t>4R81-6-6-A</t>
  </si>
  <si>
    <t>40,00</t>
  </si>
  <si>
    <t>50,4295</t>
  </si>
  <si>
    <t>58,1515</t>
  </si>
  <si>
    <t>5Х пар.3</t>
  </si>
  <si>
    <t>2Х пар.8</t>
  </si>
  <si>
    <t>24Х</t>
  </si>
  <si>
    <t>25Х</t>
  </si>
  <si>
    <t>26Х</t>
  </si>
  <si>
    <t>46Х</t>
  </si>
  <si>
    <t>56Х</t>
  </si>
  <si>
    <t>Планетарный ряд 430 не связан ни с одним другим рядом</t>
  </si>
  <si>
    <t>4R93-10-3-A(9+1)</t>
  </si>
  <si>
    <t>Вариант 18</t>
  </si>
  <si>
    <t xml:space="preserve"> Ï.Ì.:   4 6 2 I(CK)= -4.345;  5 1 2 I(CK)= -1.434;  1 9 2 I(CK)= -1.664;  3 6 9 I(CK)= -1.187;</t>
  </si>
  <si>
    <t>+1,2</t>
  </si>
  <si>
    <t>Вариант 19</t>
  </si>
  <si>
    <t>25 пар. 8</t>
  </si>
  <si>
    <t>4R93-19-1-A; B</t>
  </si>
  <si>
    <t>4R93-19-2-A</t>
  </si>
  <si>
    <t>4R93-19-3-A;B;C</t>
  </si>
  <si>
    <t>28 пар. 5</t>
  </si>
  <si>
    <t>Вариант 20</t>
  </si>
  <si>
    <t xml:space="preserve"> -1,03</t>
  </si>
  <si>
    <t>Вариант 21</t>
  </si>
  <si>
    <t>Вариант 22</t>
  </si>
  <si>
    <t>35 пар. 8</t>
  </si>
  <si>
    <t>359X</t>
  </si>
  <si>
    <t xml:space="preserve"> -3,00</t>
  </si>
  <si>
    <t xml:space="preserve"> -2,00</t>
  </si>
  <si>
    <t>1,00</t>
  </si>
  <si>
    <t>4R93-22-1-A;B;C</t>
  </si>
  <si>
    <t>4R93-22-2-A;B;C</t>
  </si>
  <si>
    <t>4R93-22-3-A</t>
  </si>
  <si>
    <t>Вариант 23</t>
  </si>
  <si>
    <t>Вариант 24</t>
  </si>
  <si>
    <t>28 пар.X</t>
  </si>
  <si>
    <t>28 пар. X</t>
  </si>
  <si>
    <t>58 пар. X</t>
  </si>
  <si>
    <t>4R93-24-1-A</t>
  </si>
  <si>
    <t>4R93-24-2-A</t>
  </si>
  <si>
    <t>4R93-24-3-A</t>
  </si>
  <si>
    <t>1) КПД на одной из передач КПД ниже 0,093;</t>
  </si>
  <si>
    <t>2) На одной из передач относительная угловая скорость сателлитов больше 5,0</t>
  </si>
  <si>
    <t>3) конструктивный параметр одного из пл.рядов больше 4,5.</t>
  </si>
  <si>
    <t>Вариантов решения нет по одной из следующих причин:</t>
  </si>
  <si>
    <t>Вариантов решения содержащих пл.ряды только второго класса нет.</t>
  </si>
  <si>
    <t>На основе плана угловых скоростей имеются две муфты, образованные с помощью условного звена 8</t>
  </si>
  <si>
    <t>66,6596</t>
  </si>
  <si>
    <t>057</t>
  </si>
  <si>
    <t>0238</t>
  </si>
  <si>
    <t>283</t>
  </si>
  <si>
    <t>-5,00</t>
  </si>
  <si>
    <t xml:space="preserve"> -1,25</t>
  </si>
  <si>
    <t>-8,10</t>
  </si>
  <si>
    <t>0234</t>
  </si>
  <si>
    <t>-3,11</t>
  </si>
  <si>
    <t>421</t>
  </si>
  <si>
    <t>4X пар. 8</t>
  </si>
  <si>
    <t>459X</t>
  </si>
  <si>
    <t>-3,12</t>
  </si>
  <si>
    <t>4R107-1-1-A</t>
  </si>
  <si>
    <t>Остальные варианты отбракованы по одной из следующих причин:</t>
  </si>
  <si>
    <t>3) Конструктивный параметр одного из пл.рядов больше 4,5.</t>
  </si>
  <si>
    <t>1) КПД на одной из передач КПД ниже 0,90;</t>
  </si>
  <si>
    <t>4R107-1-2-A</t>
  </si>
  <si>
    <t>-9Б80</t>
  </si>
  <si>
    <t>203</t>
  </si>
  <si>
    <t>61,16</t>
  </si>
  <si>
    <t>50,00</t>
  </si>
  <si>
    <t>55,50</t>
  </si>
  <si>
    <t>-6,75</t>
  </si>
  <si>
    <t xml:space="preserve">Mуфта </t>
  </si>
  <si>
    <t>24 пар.5</t>
  </si>
  <si>
    <t>24 пар.X</t>
  </si>
  <si>
    <t>24 и 35</t>
  </si>
  <si>
    <t>24 и 3Х</t>
  </si>
  <si>
    <t>25 пар.4</t>
  </si>
  <si>
    <t>259X</t>
  </si>
  <si>
    <t>25 и 34</t>
  </si>
  <si>
    <t xml:space="preserve"> -1,02</t>
  </si>
  <si>
    <t>34 пар.5</t>
  </si>
  <si>
    <t>34 пар.X</t>
  </si>
  <si>
    <t>35 пар.4</t>
  </si>
  <si>
    <t>35 и 4Х</t>
  </si>
  <si>
    <t>3Х пар.4</t>
  </si>
  <si>
    <t>3Х и 45</t>
  </si>
  <si>
    <t>45 пар.Х</t>
  </si>
  <si>
    <t>4Х пар.5</t>
  </si>
  <si>
    <t>4R85-5-1-A;B</t>
  </si>
  <si>
    <t>076</t>
  </si>
  <si>
    <t>4R85-5-2-A</t>
  </si>
  <si>
    <t>-2,47</t>
  </si>
  <si>
    <t>-1,57</t>
  </si>
  <si>
    <t>-2,68</t>
  </si>
  <si>
    <t>-3,20</t>
  </si>
  <si>
    <t>25 пар.8</t>
  </si>
  <si>
    <t>652</t>
  </si>
  <si>
    <t>256X</t>
  </si>
  <si>
    <t>6X2</t>
  </si>
  <si>
    <t>6X5</t>
  </si>
  <si>
    <t>-5,34</t>
  </si>
  <si>
    <t>25 и 38</t>
  </si>
  <si>
    <t>625</t>
  </si>
  <si>
    <t>-9,54</t>
  </si>
  <si>
    <t>62Х</t>
  </si>
  <si>
    <t>65Х</t>
  </si>
  <si>
    <t>-26,34</t>
  </si>
  <si>
    <t>28 пар.5</t>
  </si>
  <si>
    <t>286</t>
  </si>
  <si>
    <t>056</t>
  </si>
  <si>
    <t>06X</t>
  </si>
  <si>
    <t>0X6</t>
  </si>
  <si>
    <t>356</t>
  </si>
  <si>
    <t>365</t>
  </si>
  <si>
    <t>36X</t>
  </si>
  <si>
    <t>-6,79</t>
  </si>
  <si>
    <t>456</t>
  </si>
  <si>
    <t>465</t>
  </si>
  <si>
    <t>46X</t>
  </si>
  <si>
    <t>35 пар.8</t>
  </si>
  <si>
    <t>-4,11</t>
  </si>
  <si>
    <t>086</t>
  </si>
  <si>
    <t>486</t>
  </si>
  <si>
    <t>-2,22</t>
  </si>
  <si>
    <t>35 и 8Х</t>
  </si>
  <si>
    <t>Х86</t>
  </si>
  <si>
    <t>-27,00</t>
  </si>
  <si>
    <t>3Х пар.8</t>
  </si>
  <si>
    <t>36Х</t>
  </si>
  <si>
    <t>3Х6</t>
  </si>
  <si>
    <t>3X и 48</t>
  </si>
  <si>
    <t>3X и 58</t>
  </si>
  <si>
    <t>586</t>
  </si>
  <si>
    <t>38 пар.5</t>
  </si>
  <si>
    <t>386</t>
  </si>
  <si>
    <t>650</t>
  </si>
  <si>
    <t>38 пар.X</t>
  </si>
  <si>
    <t>6X0</t>
  </si>
  <si>
    <t>-5,01</t>
  </si>
  <si>
    <t>645</t>
  </si>
  <si>
    <t>64X</t>
  </si>
  <si>
    <t>45 пар.8</t>
  </si>
  <si>
    <t>45 и X8</t>
  </si>
  <si>
    <t>X86</t>
  </si>
  <si>
    <t>-8,01</t>
  </si>
  <si>
    <t>4X6</t>
  </si>
  <si>
    <t>-1,70</t>
  </si>
  <si>
    <t>4X и 58</t>
  </si>
  <si>
    <t>48 пар 5</t>
  </si>
  <si>
    <t>Вариант 25</t>
  </si>
  <si>
    <t>48 пар X</t>
  </si>
  <si>
    <t>58 пар X</t>
  </si>
  <si>
    <t>Вариант 26</t>
  </si>
  <si>
    <t>Вариант 27</t>
  </si>
  <si>
    <t>8X пар 5</t>
  </si>
  <si>
    <t>065</t>
  </si>
  <si>
    <t>Вариант 28</t>
  </si>
  <si>
    <t>4R86-1-1-A</t>
  </si>
  <si>
    <t>4R86-1-2-A</t>
  </si>
  <si>
    <t>4R86-1-3-A</t>
  </si>
  <si>
    <t>4R86-1-4-A</t>
  </si>
  <si>
    <t>4R86-1-5-A</t>
  </si>
  <si>
    <t>4R86-1-6-A</t>
  </si>
  <si>
    <t>4R86-3-1-A</t>
  </si>
  <si>
    <t>-2,86</t>
  </si>
  <si>
    <t>86</t>
  </si>
  <si>
    <t>Вариант 29</t>
  </si>
  <si>
    <t>58 пар 2</t>
  </si>
  <si>
    <t>062</t>
  </si>
  <si>
    <t xml:space="preserve"> -2,56</t>
  </si>
  <si>
    <t>460</t>
  </si>
  <si>
    <t xml:space="preserve"> -1,27</t>
  </si>
  <si>
    <t>360</t>
  </si>
  <si>
    <t xml:space="preserve"> -4,11</t>
  </si>
  <si>
    <t>02346</t>
  </si>
  <si>
    <t>Нет звена 6</t>
  </si>
  <si>
    <t>4R86-29-4-A</t>
  </si>
  <si>
    <t>4R86-29-2-A</t>
  </si>
  <si>
    <t>02358</t>
  </si>
  <si>
    <t>X63</t>
  </si>
  <si>
    <t>X36</t>
  </si>
  <si>
    <t>X56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</si>
</sst>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"/>
  </numFmts>
  <fonts count="11" x14ac:knownFonts="1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i/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20"/>
      <name val="Arial Cyr"/>
      <charset val="204"/>
    </font>
    <font>
      <b/>
      <sz val="20"/>
      <name val="Arial Cyr"/>
      <charset val="204"/>
    </font>
    <font>
      <b/>
      <sz val="10"/>
      <color rgb="FFFF0000"/>
      <name val="Arial Cyr"/>
      <charset val="204"/>
    </font>
    <font>
      <sz val="10"/>
      <color theme="1"/>
      <name val="Arial Cyr"/>
      <charset val="204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0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3" borderId="1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Border="1"/>
    <xf numFmtId="49" fontId="0" fillId="5" borderId="1" xfId="0" applyNumberFormat="1" applyFill="1" applyBorder="1" applyAlignment="1">
      <alignment horizontal="center" vertical="center"/>
    </xf>
    <xf numFmtId="49" fontId="0" fillId="0" borderId="0" xfId="0" applyNumberFormat="1" applyFill="1"/>
    <xf numFmtId="49" fontId="0" fillId="0" borderId="0" xfId="0" applyNumberFormat="1" applyAlignment="1">
      <alignment vertical="center"/>
    </xf>
    <xf numFmtId="49" fontId="0" fillId="0" borderId="0" xfId="0" applyNumberFormat="1" applyFill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vertical="center"/>
    </xf>
    <xf numFmtId="49" fontId="0" fillId="8" borderId="1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vertical="center"/>
    </xf>
    <xf numFmtId="49" fontId="0" fillId="4" borderId="0" xfId="0" applyNumberFormat="1" applyFill="1" applyAlignment="1">
      <alignment horizontal="center"/>
    </xf>
    <xf numFmtId="0" fontId="0" fillId="0" borderId="0" xfId="0" applyFill="1"/>
    <xf numFmtId="0" fontId="0" fillId="4" borderId="0" xfId="0" applyFill="1"/>
    <xf numFmtId="49" fontId="0" fillId="0" borderId="3" xfId="0" applyNumberForma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0" fillId="0" borderId="0" xfId="0" applyFill="1" applyBorder="1"/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Border="1"/>
    <xf numFmtId="0" fontId="0" fillId="3" borderId="1" xfId="0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1" xfId="0" applyFill="1" applyBorder="1"/>
    <xf numFmtId="0" fontId="0" fillId="9" borderId="0" xfId="0" applyFill="1"/>
    <xf numFmtId="49" fontId="0" fillId="0" borderId="4" xfId="0" applyNumberFormat="1" applyFill="1" applyBorder="1" applyAlignment="1">
      <alignment horizontal="center" vertical="center"/>
    </xf>
    <xf numFmtId="49" fontId="0" fillId="7" borderId="0" xfId="0" applyNumberFormat="1" applyFill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/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/>
    <xf numFmtId="49" fontId="0" fillId="2" borderId="5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2" borderId="6" xfId="0" applyNumberFormat="1" applyFill="1" applyBorder="1" applyAlignment="1">
      <alignment horizontal="center" vertical="center"/>
    </xf>
    <xf numFmtId="0" fontId="0" fillId="6" borderId="1" xfId="0" applyFill="1" applyBorder="1"/>
    <xf numFmtId="49" fontId="0" fillId="3" borderId="4" xfId="0" applyNumberFormat="1" applyFill="1" applyBorder="1" applyAlignment="1">
      <alignment horizontal="center" vertical="center"/>
    </xf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left"/>
    </xf>
    <xf numFmtId="49" fontId="0" fillId="6" borderId="1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49" fontId="0" fillId="12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vertical="center"/>
    </xf>
    <xf numFmtId="49" fontId="0" fillId="12" borderId="0" xfId="0" applyNumberFormat="1" applyFill="1" applyBorder="1" applyAlignment="1">
      <alignment horizontal="center" vertical="center"/>
    </xf>
    <xf numFmtId="49" fontId="0" fillId="12" borderId="0" xfId="0" applyNumberFormat="1" applyFill="1" applyBorder="1"/>
    <xf numFmtId="49" fontId="0" fillId="12" borderId="0" xfId="0" applyNumberForma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0" fillId="2" borderId="3" xfId="0" applyNumberFormat="1" applyFill="1" applyBorder="1"/>
    <xf numFmtId="49" fontId="0" fillId="2" borderId="3" xfId="0" applyNumberFormat="1" applyFill="1" applyBorder="1" applyAlignment="1">
      <alignment horizontal="center"/>
    </xf>
    <xf numFmtId="49" fontId="0" fillId="3" borderId="3" xfId="0" applyNumberFormat="1" applyFill="1" applyBorder="1"/>
    <xf numFmtId="49" fontId="0" fillId="3" borderId="3" xfId="0" applyNumberFormat="1" applyFill="1" applyBorder="1" applyAlignment="1">
      <alignment horizontal="center"/>
    </xf>
    <xf numFmtId="49" fontId="0" fillId="6" borderId="3" xfId="0" applyNumberFormat="1" applyFill="1" applyBorder="1"/>
    <xf numFmtId="49" fontId="0" fillId="6" borderId="3" xfId="0" applyNumberForma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/>
    <xf numFmtId="49" fontId="0" fillId="3" borderId="7" xfId="0" applyNumberFormat="1" applyFill="1" applyBorder="1" applyAlignment="1">
      <alignment horizontal="center"/>
    </xf>
    <xf numFmtId="0" fontId="1" fillId="6" borderId="8" xfId="0" applyFont="1" applyFill="1" applyBorder="1" applyAlignment="1">
      <alignment horizontal="center" vertical="top" wrapText="1"/>
    </xf>
    <xf numFmtId="0" fontId="0" fillId="0" borderId="1" xfId="0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vertical="top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6" borderId="0" xfId="0" applyFill="1"/>
    <xf numFmtId="0" fontId="7" fillId="0" borderId="0" xfId="0" applyFont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49" fontId="0" fillId="2" borderId="9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2" borderId="7" xfId="0" applyNumberFormat="1" applyFill="1" applyBorder="1" applyAlignment="1">
      <alignment horizontal="center" vertical="center"/>
    </xf>
    <xf numFmtId="165" fontId="0" fillId="3" borderId="1" xfId="0" applyNumberFormat="1" applyFill="1" applyBorder="1"/>
    <xf numFmtId="165" fontId="0" fillId="3" borderId="1" xfId="0" applyNumberFormat="1" applyFill="1" applyBorder="1" applyAlignment="1">
      <alignment vertical="center"/>
    </xf>
    <xf numFmtId="165" fontId="0" fillId="8" borderId="1" xfId="0" applyNumberFormat="1" applyFill="1" applyBorder="1"/>
    <xf numFmtId="165" fontId="0" fillId="8" borderId="1" xfId="0" applyNumberFormat="1" applyFill="1" applyBorder="1" applyAlignment="1">
      <alignment vertical="center"/>
    </xf>
    <xf numFmtId="165" fontId="0" fillId="0" borderId="1" xfId="0" applyNumberFormat="1" applyBorder="1"/>
    <xf numFmtId="165" fontId="0" fillId="0" borderId="1" xfId="0" applyNumberFormat="1" applyBorder="1" applyAlignment="1">
      <alignment vertical="center"/>
    </xf>
    <xf numFmtId="49" fontId="1" fillId="5" borderId="1" xfId="0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7" xfId="0" applyBorder="1"/>
    <xf numFmtId="0" fontId="0" fillId="5" borderId="0" xfId="0" applyFill="1"/>
    <xf numFmtId="49" fontId="0" fillId="14" borderId="1" xfId="0" applyNumberFormat="1" applyFill="1" applyBorder="1" applyAlignment="1">
      <alignment horizontal="center"/>
    </xf>
    <xf numFmtId="0" fontId="0" fillId="14" borderId="1" xfId="0" applyFill="1" applyBorder="1"/>
    <xf numFmtId="49" fontId="9" fillId="14" borderId="1" xfId="0" applyNumberFormat="1" applyFont="1" applyFill="1" applyBorder="1" applyAlignment="1">
      <alignment horizontal="center"/>
    </xf>
    <xf numFmtId="49" fontId="0" fillId="14" borderId="1" xfId="0" applyNumberFormat="1" applyFont="1" applyFill="1" applyBorder="1" applyAlignment="1">
      <alignment horizontal="center"/>
    </xf>
    <xf numFmtId="0" fontId="0" fillId="14" borderId="1" xfId="0" applyFont="1" applyFill="1" applyBorder="1"/>
    <xf numFmtId="49" fontId="10" fillId="14" borderId="1" xfId="0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49" fontId="0" fillId="15" borderId="1" xfId="0" applyNumberFormat="1" applyFill="1" applyBorder="1" applyAlignment="1">
      <alignment horizontal="center"/>
    </xf>
    <xf numFmtId="49" fontId="0" fillId="16" borderId="1" xfId="0" applyNumberFormat="1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7" borderId="0" xfId="0" applyFill="1"/>
    <xf numFmtId="0" fontId="0" fillId="18" borderId="0" xfId="0" applyFill="1"/>
    <xf numFmtId="0" fontId="0" fillId="15" borderId="0" xfId="0" applyFill="1"/>
    <xf numFmtId="49" fontId="0" fillId="0" borderId="0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49" fontId="0" fillId="2" borderId="5" xfId="0" applyNumberFormat="1" applyFill="1" applyBorder="1" applyAlignment="1">
      <alignment horizontal="center" vertical="center"/>
    </xf>
    <xf numFmtId="49" fontId="0" fillId="12" borderId="0" xfId="0" applyNumberForma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6" borderId="12" xfId="0" applyNumberFormat="1" applyFill="1" applyBorder="1" applyAlignment="1">
      <alignment horizontal="center"/>
    </xf>
    <xf numFmtId="49" fontId="0" fillId="6" borderId="13" xfId="0" applyNumberFormat="1" applyFill="1" applyBorder="1" applyAlignment="1">
      <alignment horizontal="center"/>
    </xf>
    <xf numFmtId="49" fontId="0" fillId="6" borderId="6" xfId="0" applyNumberForma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6" borderId="14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4" xfId="0" applyBorder="1"/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Border="1" applyAlignment="1">
      <alignment wrapText="1"/>
    </xf>
    <xf numFmtId="0" fontId="0" fillId="0" borderId="11" xfId="0" applyBorder="1"/>
    <xf numFmtId="49" fontId="0" fillId="0" borderId="4" xfId="0" applyNumberFormat="1" applyBorder="1"/>
    <xf numFmtId="49" fontId="0" fillId="0" borderId="0" xfId="0" applyNumberFormat="1"/>
    <xf numFmtId="49" fontId="0" fillId="2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0" fillId="8" borderId="0" xfId="0" applyNumberFormat="1" applyFill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8" borderId="1" xfId="0" applyNumberFormat="1" applyFill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237"/>
  <sheetViews>
    <sheetView topLeftCell="C1" workbookViewId="0">
      <selection activeCell="C20" sqref="C20"/>
    </sheetView>
  </sheetViews>
  <sheetFormatPr defaultRowHeight="12.75" x14ac:dyDescent="0.2"/>
  <cols>
    <col min="1" max="1" width="10.5703125" customWidth="1"/>
    <col min="5" max="5" width="10.28515625" style="3" customWidth="1"/>
    <col min="6" max="8" width="9.140625" style="1"/>
    <col min="9" max="9" width="10.28515625" style="1" customWidth="1"/>
    <col min="10" max="11" width="9.140625" style="1"/>
    <col min="12" max="12" width="9.140625" style="2"/>
    <col min="13" max="16" width="9.140625" style="14"/>
    <col min="17" max="17" width="10.140625" style="31" customWidth="1"/>
    <col min="18" max="19" width="9.140625" style="2"/>
    <col min="21" max="21" width="10.5703125" customWidth="1"/>
    <col min="23" max="23" width="9.140625" style="14"/>
    <col min="25" max="25" width="11.140625" customWidth="1"/>
  </cols>
  <sheetData>
    <row r="2" spans="1:28" x14ac:dyDescent="0.2">
      <c r="A2" s="9"/>
      <c r="B2" s="10">
        <v>7.6523000000000003</v>
      </c>
      <c r="C2" s="10">
        <v>14.117699999999999</v>
      </c>
      <c r="D2" s="10">
        <f>40/1.75</f>
        <v>22.857142857142858</v>
      </c>
      <c r="E2" s="11">
        <v>30.665500000000002</v>
      </c>
      <c r="F2" s="12">
        <v>40</v>
      </c>
      <c r="G2" s="12">
        <v>50.43</v>
      </c>
      <c r="H2" s="12">
        <v>58.15</v>
      </c>
      <c r="I2" s="12">
        <v>67.290000000000006</v>
      </c>
    </row>
    <row r="3" spans="1:28" x14ac:dyDescent="0.2">
      <c r="A3" s="19" t="s">
        <v>0</v>
      </c>
      <c r="B3" s="33">
        <f>40/B2</f>
        <v>5.2271865974935636</v>
      </c>
      <c r="C3" s="33">
        <f t="shared" ref="C3:I3" si="0">40/C2</f>
        <v>2.8333227083731769</v>
      </c>
      <c r="D3" s="34">
        <f t="shared" si="0"/>
        <v>1.75</v>
      </c>
      <c r="E3" s="35">
        <f t="shared" si="0"/>
        <v>1.3043974499029853</v>
      </c>
      <c r="F3" s="36">
        <f t="shared" si="0"/>
        <v>1</v>
      </c>
      <c r="G3" s="36">
        <f t="shared" si="0"/>
        <v>0.79317866349395205</v>
      </c>
      <c r="H3" s="36">
        <f t="shared" si="0"/>
        <v>0.68787618228718828</v>
      </c>
      <c r="I3" s="36">
        <f t="shared" si="0"/>
        <v>0.59444196760291268</v>
      </c>
      <c r="J3" s="1" t="s">
        <v>540</v>
      </c>
      <c r="K3" s="12">
        <f>B3/I3</f>
        <v>8.7934346536335486</v>
      </c>
    </row>
    <row r="4" spans="1:28" x14ac:dyDescent="0.2">
      <c r="A4" s="19" t="s">
        <v>1</v>
      </c>
      <c r="B4" s="33"/>
      <c r="C4" s="33">
        <f t="shared" ref="C4:I4" si="1">B3/C3</f>
        <v>1.844896305685872</v>
      </c>
      <c r="D4" s="33">
        <f t="shared" si="1"/>
        <v>1.6190415476418154</v>
      </c>
      <c r="E4" s="35">
        <f t="shared" si="1"/>
        <v>1.3416156250000002</v>
      </c>
      <c r="F4" s="36">
        <f t="shared" si="1"/>
        <v>1.3043974499029853</v>
      </c>
      <c r="G4" s="36">
        <f t="shared" si="1"/>
        <v>1.26075</v>
      </c>
      <c r="H4" s="36">
        <f t="shared" si="1"/>
        <v>1.1530834820543328</v>
      </c>
      <c r="I4" s="36">
        <f t="shared" si="1"/>
        <v>1.1571797076526227</v>
      </c>
    </row>
    <row r="5" spans="1:28" x14ac:dyDescent="0.2">
      <c r="A5" s="9"/>
      <c r="B5" s="9">
        <f>100/B3</f>
        <v>19.130750000000003</v>
      </c>
      <c r="C5" s="9">
        <f t="shared" ref="C5:I5" si="2">100/C3</f>
        <v>35.294249999999998</v>
      </c>
      <c r="D5" s="9">
        <f t="shared" si="2"/>
        <v>57.142857142857146</v>
      </c>
      <c r="E5" s="13">
        <f t="shared" si="2"/>
        <v>76.663750000000007</v>
      </c>
      <c r="F5" s="7">
        <f t="shared" si="2"/>
        <v>100</v>
      </c>
      <c r="G5" s="7">
        <f t="shared" si="2"/>
        <v>126.07499999999999</v>
      </c>
      <c r="H5" s="7">
        <f t="shared" si="2"/>
        <v>145.375</v>
      </c>
      <c r="I5" s="7">
        <f t="shared" si="2"/>
        <v>168.22500000000002</v>
      </c>
    </row>
    <row r="6" spans="1:28" x14ac:dyDescent="0.2">
      <c r="B6">
        <f>1/B3</f>
        <v>0.19130750000000002</v>
      </c>
      <c r="C6">
        <f t="shared" ref="C6:I6" si="3">1/C3</f>
        <v>0.35294249999999999</v>
      </c>
      <c r="D6">
        <f t="shared" si="3"/>
        <v>0.5714285714285714</v>
      </c>
      <c r="E6">
        <f t="shared" si="3"/>
        <v>0.76663750000000008</v>
      </c>
      <c r="F6">
        <f t="shared" si="3"/>
        <v>1</v>
      </c>
      <c r="G6">
        <f t="shared" si="3"/>
        <v>1.26075</v>
      </c>
      <c r="H6">
        <f t="shared" si="3"/>
        <v>1.4537500000000001</v>
      </c>
      <c r="I6">
        <f t="shared" si="3"/>
        <v>1.6822500000000002</v>
      </c>
    </row>
    <row r="7" spans="1:28" x14ac:dyDescent="0.2">
      <c r="A7" s="188" t="s">
        <v>60</v>
      </c>
      <c r="B7" s="188"/>
      <c r="C7" s="188"/>
      <c r="D7" s="27"/>
      <c r="E7" s="189" t="s">
        <v>97</v>
      </c>
      <c r="F7" s="189"/>
      <c r="G7" s="189"/>
      <c r="I7" s="189" t="s">
        <v>98</v>
      </c>
      <c r="J7" s="189"/>
      <c r="K7" s="189"/>
      <c r="M7" s="189" t="s">
        <v>99</v>
      </c>
      <c r="N7" s="189"/>
      <c r="O7" s="189"/>
      <c r="Q7" s="191" t="s">
        <v>100</v>
      </c>
      <c r="R7" s="192"/>
      <c r="S7" s="193"/>
      <c r="U7" s="189" t="s">
        <v>101</v>
      </c>
      <c r="V7" s="189"/>
      <c r="W7" s="189"/>
      <c r="Y7" s="189" t="s">
        <v>102</v>
      </c>
      <c r="Z7" s="189"/>
      <c r="AA7" s="189"/>
    </row>
    <row r="8" spans="1:28" x14ac:dyDescent="0.2">
      <c r="D8" s="27"/>
      <c r="E8" s="185" t="s">
        <v>34</v>
      </c>
      <c r="F8" s="185"/>
      <c r="G8" s="185"/>
      <c r="I8" s="185" t="s">
        <v>43</v>
      </c>
      <c r="J8" s="185"/>
      <c r="K8" s="185"/>
      <c r="M8" s="185" t="s">
        <v>53</v>
      </c>
      <c r="N8" s="185"/>
      <c r="O8" s="185"/>
      <c r="Q8" s="194" t="s">
        <v>68</v>
      </c>
      <c r="R8" s="195"/>
      <c r="S8" s="196"/>
      <c r="U8" s="190" t="s">
        <v>85</v>
      </c>
      <c r="V8" s="190"/>
      <c r="W8" s="190"/>
      <c r="Y8" s="190" t="s">
        <v>91</v>
      </c>
      <c r="Z8" s="190"/>
      <c r="AA8" s="190"/>
    </row>
    <row r="9" spans="1:28" x14ac:dyDescent="0.2">
      <c r="A9" s="7" t="s">
        <v>2</v>
      </c>
      <c r="B9" s="8" t="s">
        <v>3</v>
      </c>
      <c r="C9" s="20" t="s">
        <v>0</v>
      </c>
      <c r="D9" s="27"/>
      <c r="E9" s="7" t="s">
        <v>2</v>
      </c>
      <c r="F9" s="7" t="s">
        <v>3</v>
      </c>
      <c r="G9" s="21" t="s">
        <v>0</v>
      </c>
      <c r="H9" s="24"/>
      <c r="I9" s="22" t="s">
        <v>2</v>
      </c>
      <c r="J9" s="22" t="s">
        <v>3</v>
      </c>
      <c r="K9" s="23" t="s">
        <v>0</v>
      </c>
      <c r="M9" s="22" t="s">
        <v>2</v>
      </c>
      <c r="N9" s="22" t="s">
        <v>3</v>
      </c>
      <c r="O9" s="23" t="s">
        <v>0</v>
      </c>
      <c r="Q9" s="41" t="s">
        <v>2</v>
      </c>
      <c r="R9" s="41" t="s">
        <v>3</v>
      </c>
      <c r="S9" s="42" t="s">
        <v>0</v>
      </c>
      <c r="U9" s="22" t="s">
        <v>2</v>
      </c>
      <c r="V9" s="22" t="s">
        <v>3</v>
      </c>
      <c r="W9" s="23" t="s">
        <v>0</v>
      </c>
      <c r="Y9" s="22" t="s">
        <v>2</v>
      </c>
      <c r="Z9" s="22" t="s">
        <v>3</v>
      </c>
      <c r="AA9" s="23" t="s">
        <v>0</v>
      </c>
    </row>
    <row r="10" spans="1:28" x14ac:dyDescent="0.2">
      <c r="A10" s="187" t="s">
        <v>4</v>
      </c>
      <c r="B10" s="18" t="s">
        <v>5</v>
      </c>
      <c r="C10" s="18" t="s">
        <v>6</v>
      </c>
      <c r="D10" s="28"/>
      <c r="E10" s="186" t="s">
        <v>35</v>
      </c>
      <c r="F10" s="29" t="s">
        <v>35</v>
      </c>
      <c r="G10" s="29" t="s">
        <v>36</v>
      </c>
      <c r="I10" s="187" t="s">
        <v>44</v>
      </c>
      <c r="J10" s="29" t="s">
        <v>45</v>
      </c>
      <c r="K10" s="29" t="s">
        <v>47</v>
      </c>
      <c r="M10" s="187" t="s">
        <v>54</v>
      </c>
      <c r="N10" s="29" t="s">
        <v>55</v>
      </c>
      <c r="O10" s="29" t="s">
        <v>61</v>
      </c>
      <c r="Q10" s="187" t="s">
        <v>4</v>
      </c>
      <c r="R10" s="18" t="s">
        <v>5</v>
      </c>
      <c r="S10" s="18" t="s">
        <v>6</v>
      </c>
      <c r="U10" s="187" t="s">
        <v>35</v>
      </c>
      <c r="V10" s="26" t="s">
        <v>92</v>
      </c>
      <c r="W10" s="26" t="s">
        <v>87</v>
      </c>
      <c r="Y10" s="187" t="s">
        <v>57</v>
      </c>
      <c r="Z10" s="29" t="s">
        <v>59</v>
      </c>
      <c r="AA10" s="29" t="s">
        <v>93</v>
      </c>
    </row>
    <row r="11" spans="1:28" x14ac:dyDescent="0.2">
      <c r="A11" s="187"/>
      <c r="B11" s="5" t="s">
        <v>7</v>
      </c>
      <c r="C11" s="5" t="s">
        <v>8</v>
      </c>
      <c r="D11" s="28"/>
      <c r="E11" s="186"/>
      <c r="F11" s="4" t="s">
        <v>37</v>
      </c>
      <c r="G11" s="4" t="s">
        <v>38</v>
      </c>
      <c r="I11" s="187"/>
      <c r="J11" s="4" t="s">
        <v>44</v>
      </c>
      <c r="K11" s="4" t="s">
        <v>48</v>
      </c>
      <c r="M11" s="187"/>
      <c r="N11" s="4" t="s">
        <v>56</v>
      </c>
      <c r="O11" s="4" t="s">
        <v>62</v>
      </c>
      <c r="Q11" s="187"/>
      <c r="R11" s="5" t="s">
        <v>7</v>
      </c>
      <c r="S11" s="5" t="s">
        <v>8</v>
      </c>
      <c r="U11" s="187"/>
      <c r="V11" s="4" t="s">
        <v>88</v>
      </c>
      <c r="W11" s="4" t="s">
        <v>89</v>
      </c>
      <c r="Y11" s="187"/>
      <c r="Z11" s="4" t="s">
        <v>94</v>
      </c>
      <c r="AA11" s="4" t="s">
        <v>95</v>
      </c>
    </row>
    <row r="12" spans="1:28" x14ac:dyDescent="0.2">
      <c r="A12" s="187"/>
      <c r="B12" s="5" t="s">
        <v>4</v>
      </c>
      <c r="C12" s="5" t="s">
        <v>9</v>
      </c>
      <c r="D12" s="28"/>
      <c r="E12" s="186"/>
      <c r="F12" s="4" t="s">
        <v>39</v>
      </c>
      <c r="G12" s="4" t="s">
        <v>40</v>
      </c>
      <c r="I12" s="187"/>
      <c r="J12" s="4" t="s">
        <v>49</v>
      </c>
      <c r="K12" s="4" t="s">
        <v>50</v>
      </c>
      <c r="M12" s="187"/>
      <c r="N12" s="4" t="s">
        <v>54</v>
      </c>
      <c r="O12" s="4" t="s">
        <v>63</v>
      </c>
      <c r="Q12" s="187"/>
      <c r="R12" s="5" t="s">
        <v>4</v>
      </c>
      <c r="S12" s="5" t="s">
        <v>9</v>
      </c>
      <c r="U12" s="187"/>
      <c r="V12" s="4" t="s">
        <v>35</v>
      </c>
      <c r="W12" s="4" t="s">
        <v>90</v>
      </c>
      <c r="Y12" s="187"/>
      <c r="Z12" s="4" t="s">
        <v>57</v>
      </c>
      <c r="AA12" s="4" t="s">
        <v>96</v>
      </c>
    </row>
    <row r="13" spans="1:28" x14ac:dyDescent="0.2">
      <c r="A13" s="176"/>
      <c r="B13" s="5"/>
      <c r="C13" s="5"/>
      <c r="D13" s="28"/>
      <c r="E13" s="6" t="s">
        <v>41</v>
      </c>
      <c r="F13" s="4" t="s">
        <v>67</v>
      </c>
      <c r="G13" s="4"/>
      <c r="I13" s="6" t="s">
        <v>41</v>
      </c>
      <c r="J13" s="4" t="s">
        <v>46</v>
      </c>
      <c r="K13" s="4"/>
      <c r="M13" s="187" t="s">
        <v>57</v>
      </c>
      <c r="N13" s="29" t="s">
        <v>57</v>
      </c>
      <c r="O13" s="29" t="s">
        <v>64</v>
      </c>
      <c r="Q13" s="187" t="s">
        <v>69</v>
      </c>
      <c r="R13" s="18">
        <v>492</v>
      </c>
      <c r="S13" s="18" t="s">
        <v>84</v>
      </c>
      <c r="U13" s="6" t="s">
        <v>41</v>
      </c>
      <c r="V13" s="4" t="s">
        <v>86</v>
      </c>
      <c r="W13" s="4"/>
      <c r="Y13" s="6" t="s">
        <v>41</v>
      </c>
      <c r="Z13" s="4" t="s">
        <v>86</v>
      </c>
      <c r="AA13" s="4"/>
    </row>
    <row r="14" spans="1:28" x14ac:dyDescent="0.2">
      <c r="A14" s="184" t="s">
        <v>10</v>
      </c>
      <c r="B14" s="18" t="s">
        <v>10</v>
      </c>
      <c r="C14" s="18" t="s">
        <v>11</v>
      </c>
      <c r="D14" s="27"/>
      <c r="M14" s="187"/>
      <c r="N14" s="4" t="s">
        <v>58</v>
      </c>
      <c r="O14" s="4" t="s">
        <v>65</v>
      </c>
      <c r="Q14" s="187"/>
      <c r="R14" s="5">
        <v>429</v>
      </c>
      <c r="S14" s="5" t="s">
        <v>73</v>
      </c>
    </row>
    <row r="15" spans="1:28" x14ac:dyDescent="0.2">
      <c r="A15" s="184"/>
      <c r="B15" s="8">
        <v>302</v>
      </c>
      <c r="C15" s="8" t="s">
        <v>12</v>
      </c>
      <c r="D15" s="27"/>
      <c r="E15" s="25" t="s">
        <v>10</v>
      </c>
      <c r="F15" s="25" t="s">
        <v>11</v>
      </c>
      <c r="I15" s="15" t="s">
        <v>10</v>
      </c>
      <c r="J15" s="15" t="s">
        <v>11</v>
      </c>
      <c r="M15" s="187"/>
      <c r="N15" s="4" t="s">
        <v>59</v>
      </c>
      <c r="O15" s="4" t="s">
        <v>66</v>
      </c>
      <c r="Q15" s="187"/>
      <c r="R15" s="5" t="s">
        <v>69</v>
      </c>
      <c r="S15" s="5" t="s">
        <v>74</v>
      </c>
      <c r="Y15" s="15" t="s">
        <v>10</v>
      </c>
      <c r="Z15" s="15" t="s">
        <v>11</v>
      </c>
      <c r="AA15" s="181" t="s">
        <v>787</v>
      </c>
      <c r="AB15" s="181"/>
    </row>
    <row r="16" spans="1:28" x14ac:dyDescent="0.2">
      <c r="A16" s="184"/>
      <c r="B16" s="8" t="s">
        <v>13</v>
      </c>
      <c r="C16" s="8" t="s">
        <v>14</v>
      </c>
      <c r="D16" s="27"/>
      <c r="E16" s="25" t="s">
        <v>16</v>
      </c>
      <c r="F16" s="25" t="s">
        <v>17</v>
      </c>
      <c r="I16" s="15" t="s">
        <v>16</v>
      </c>
      <c r="J16" s="15" t="s">
        <v>17</v>
      </c>
      <c r="K16" s="182" t="s">
        <v>745</v>
      </c>
      <c r="L16" s="183"/>
      <c r="M16" s="6" t="s">
        <v>41</v>
      </c>
      <c r="N16" s="4" t="s">
        <v>67</v>
      </c>
      <c r="O16" s="4"/>
      <c r="Q16" s="187" t="s">
        <v>70</v>
      </c>
      <c r="R16" s="18" t="s">
        <v>70</v>
      </c>
      <c r="S16" s="18" t="s">
        <v>75</v>
      </c>
      <c r="Y16" s="15" t="s">
        <v>16</v>
      </c>
      <c r="Z16" s="15" t="s">
        <v>17</v>
      </c>
    </row>
    <row r="17" spans="1:28" x14ac:dyDescent="0.2">
      <c r="A17" s="184" t="s">
        <v>15</v>
      </c>
      <c r="B17" s="18" t="s">
        <v>16</v>
      </c>
      <c r="C17" s="18" t="s">
        <v>17</v>
      </c>
      <c r="D17" s="27"/>
      <c r="E17" s="25" t="s">
        <v>5</v>
      </c>
      <c r="F17" s="25" t="s">
        <v>6</v>
      </c>
      <c r="I17" s="15" t="s">
        <v>5</v>
      </c>
      <c r="J17" s="15" t="s">
        <v>6</v>
      </c>
      <c r="Q17" s="187"/>
      <c r="R17" s="5" t="s">
        <v>76</v>
      </c>
      <c r="S17" s="5" t="s">
        <v>77</v>
      </c>
      <c r="Y17" s="15" t="s">
        <v>5</v>
      </c>
      <c r="Z17" s="15" t="s">
        <v>6</v>
      </c>
    </row>
    <row r="18" spans="1:28" x14ac:dyDescent="0.2">
      <c r="A18" s="184"/>
      <c r="B18" s="8" t="s">
        <v>18</v>
      </c>
      <c r="C18" s="8" t="s">
        <v>19</v>
      </c>
      <c r="D18" s="27"/>
      <c r="E18" s="26" t="s">
        <v>35</v>
      </c>
      <c r="F18" s="26" t="s">
        <v>36</v>
      </c>
      <c r="I18" s="12" t="s">
        <v>45</v>
      </c>
      <c r="J18" s="12" t="s">
        <v>47</v>
      </c>
      <c r="M18" s="25" t="s">
        <v>10</v>
      </c>
      <c r="N18" s="25" t="s">
        <v>11</v>
      </c>
      <c r="Q18" s="187"/>
      <c r="R18" s="5" t="s">
        <v>78</v>
      </c>
      <c r="S18" s="5" t="s">
        <v>79</v>
      </c>
      <c r="Y18" s="12" t="s">
        <v>59</v>
      </c>
      <c r="Z18" s="12" t="s">
        <v>93</v>
      </c>
    </row>
    <row r="19" spans="1:28" x14ac:dyDescent="0.2">
      <c r="A19" s="184"/>
      <c r="B19" s="8" t="s">
        <v>20</v>
      </c>
      <c r="C19" s="8" t="s">
        <v>21</v>
      </c>
      <c r="D19" s="27"/>
      <c r="E19" s="26" t="s">
        <v>42</v>
      </c>
      <c r="F19" s="16"/>
      <c r="I19" s="12" t="s">
        <v>46</v>
      </c>
      <c r="M19" s="25" t="s">
        <v>5</v>
      </c>
      <c r="N19" s="25" t="s">
        <v>6</v>
      </c>
      <c r="Q19" s="187" t="s">
        <v>72</v>
      </c>
      <c r="R19" s="18" t="s">
        <v>71</v>
      </c>
      <c r="S19" s="18" t="s">
        <v>80</v>
      </c>
      <c r="Y19" s="12" t="s">
        <v>86</v>
      </c>
      <c r="Z19" s="16"/>
    </row>
    <row r="20" spans="1:28" x14ac:dyDescent="0.2">
      <c r="A20" s="184" t="s">
        <v>22</v>
      </c>
      <c r="B20" s="18" t="s">
        <v>22</v>
      </c>
      <c r="C20" s="18" t="s">
        <v>23</v>
      </c>
      <c r="D20" s="27"/>
      <c r="E20" s="26" t="s">
        <v>51</v>
      </c>
      <c r="F20" s="16"/>
      <c r="I20" s="12" t="s">
        <v>51</v>
      </c>
      <c r="M20" s="26" t="s">
        <v>55</v>
      </c>
      <c r="N20" s="26" t="s">
        <v>61</v>
      </c>
      <c r="Q20" s="187"/>
      <c r="R20" s="5" t="s">
        <v>72</v>
      </c>
      <c r="S20" s="5" t="s">
        <v>81</v>
      </c>
      <c r="Y20" s="16"/>
    </row>
    <row r="21" spans="1:28" x14ac:dyDescent="0.2">
      <c r="A21" s="184"/>
      <c r="B21" s="8" t="s">
        <v>24</v>
      </c>
      <c r="C21" s="8" t="s">
        <v>25</v>
      </c>
      <c r="D21" s="27"/>
      <c r="M21" s="26" t="s">
        <v>57</v>
      </c>
      <c r="N21" s="26" t="s">
        <v>64</v>
      </c>
      <c r="Q21" s="187"/>
      <c r="R21" s="5" t="s">
        <v>82</v>
      </c>
      <c r="S21" s="5" t="s">
        <v>83</v>
      </c>
      <c r="Y21" s="15" t="s">
        <v>10</v>
      </c>
      <c r="Z21" s="15" t="s">
        <v>11</v>
      </c>
      <c r="AA21" s="181" t="s">
        <v>788</v>
      </c>
      <c r="AB21" s="181"/>
    </row>
    <row r="22" spans="1:28" x14ac:dyDescent="0.2">
      <c r="A22" s="184"/>
      <c r="B22" s="8" t="s">
        <v>26</v>
      </c>
      <c r="C22" s="8" t="s">
        <v>27</v>
      </c>
      <c r="D22" s="27"/>
      <c r="E22" s="25" t="s">
        <v>10</v>
      </c>
      <c r="F22" s="25" t="s">
        <v>11</v>
      </c>
      <c r="I22" s="15" t="s">
        <v>10</v>
      </c>
      <c r="J22" s="15" t="s">
        <v>11</v>
      </c>
      <c r="K22" s="182" t="s">
        <v>746</v>
      </c>
      <c r="L22" s="183"/>
      <c r="M22" s="26" t="s">
        <v>67</v>
      </c>
      <c r="N22" s="30"/>
      <c r="Q22" s="6" t="s">
        <v>41</v>
      </c>
      <c r="R22" s="4" t="s">
        <v>67</v>
      </c>
      <c r="S22" s="86"/>
      <c r="Y22" s="15" t="s">
        <v>22</v>
      </c>
      <c r="Z22" s="15" t="s">
        <v>23</v>
      </c>
    </row>
    <row r="23" spans="1:28" x14ac:dyDescent="0.2">
      <c r="A23" s="184">
        <v>235</v>
      </c>
      <c r="B23" s="18" t="s">
        <v>28</v>
      </c>
      <c r="C23" s="18" t="s">
        <v>29</v>
      </c>
      <c r="D23" s="27"/>
      <c r="E23" s="25" t="s">
        <v>22</v>
      </c>
      <c r="F23" s="25" t="s">
        <v>23</v>
      </c>
      <c r="I23" s="15" t="s">
        <v>22</v>
      </c>
      <c r="J23" s="15" t="s">
        <v>23</v>
      </c>
      <c r="Q23" s="15" t="s">
        <v>10</v>
      </c>
      <c r="R23" s="120" t="s">
        <v>11</v>
      </c>
      <c r="S23" s="181" t="s">
        <v>754</v>
      </c>
      <c r="T23" s="181"/>
      <c r="Y23" s="15" t="s">
        <v>5</v>
      </c>
      <c r="Z23" s="15" t="s">
        <v>6</v>
      </c>
    </row>
    <row r="24" spans="1:28" x14ac:dyDescent="0.2">
      <c r="A24" s="184"/>
      <c r="B24" s="8" t="s">
        <v>30</v>
      </c>
      <c r="C24" s="8" t="s">
        <v>31</v>
      </c>
      <c r="D24" s="27"/>
      <c r="E24" s="25" t="s">
        <v>5</v>
      </c>
      <c r="F24" s="25" t="s">
        <v>6</v>
      </c>
      <c r="I24" s="15" t="s">
        <v>5</v>
      </c>
      <c r="J24" s="15" t="s">
        <v>6</v>
      </c>
      <c r="M24" s="25" t="s">
        <v>16</v>
      </c>
      <c r="N24" s="25" t="s">
        <v>17</v>
      </c>
      <c r="Q24" s="15" t="s">
        <v>16</v>
      </c>
      <c r="R24" s="15" t="s">
        <v>17</v>
      </c>
      <c r="Y24" s="12" t="s">
        <v>59</v>
      </c>
      <c r="Z24" s="12" t="s">
        <v>93</v>
      </c>
    </row>
    <row r="25" spans="1:28" x14ac:dyDescent="0.2">
      <c r="A25" s="184"/>
      <c r="B25" s="8" t="s">
        <v>32</v>
      </c>
      <c r="C25" s="8" t="s">
        <v>33</v>
      </c>
      <c r="D25" s="27"/>
      <c r="E25" s="26" t="s">
        <v>35</v>
      </c>
      <c r="F25" s="26" t="s">
        <v>36</v>
      </c>
      <c r="I25" s="12" t="s">
        <v>45</v>
      </c>
      <c r="J25" s="12" t="s">
        <v>47</v>
      </c>
      <c r="M25" s="25" t="s">
        <v>5</v>
      </c>
      <c r="N25" s="25" t="s">
        <v>6</v>
      </c>
      <c r="Q25" s="15" t="s">
        <v>5</v>
      </c>
      <c r="R25" s="15" t="s">
        <v>6</v>
      </c>
      <c r="Y25" s="12" t="s">
        <v>86</v>
      </c>
      <c r="Z25" s="16"/>
    </row>
    <row r="26" spans="1:28" x14ac:dyDescent="0.2">
      <c r="A26" s="177" t="s">
        <v>971</v>
      </c>
      <c r="B26" s="2"/>
      <c r="C26" s="2"/>
      <c r="D26" s="27"/>
      <c r="E26" s="26" t="s">
        <v>42</v>
      </c>
      <c r="F26" s="16"/>
      <c r="I26" s="12" t="s">
        <v>46</v>
      </c>
      <c r="J26" s="16"/>
      <c r="M26" s="26" t="s">
        <v>55</v>
      </c>
      <c r="N26" s="26" t="s">
        <v>61</v>
      </c>
      <c r="Q26" s="15">
        <v>492</v>
      </c>
      <c r="R26" s="15">
        <v>-2.92</v>
      </c>
    </row>
    <row r="27" spans="1:28" x14ac:dyDescent="0.2">
      <c r="B27" s="2"/>
      <c r="C27" s="2"/>
      <c r="D27" s="27"/>
      <c r="E27" s="26" t="s">
        <v>51</v>
      </c>
      <c r="F27" s="16"/>
      <c r="I27" s="12" t="s">
        <v>52</v>
      </c>
      <c r="J27" s="16"/>
      <c r="M27" s="26" t="s">
        <v>57</v>
      </c>
      <c r="N27" s="26" t="s">
        <v>64</v>
      </c>
      <c r="Q27" s="12" t="s">
        <v>67</v>
      </c>
      <c r="R27" s="32"/>
      <c r="Y27" s="15" t="s">
        <v>10</v>
      </c>
      <c r="Z27" s="15" t="s">
        <v>11</v>
      </c>
      <c r="AA27" s="181" t="s">
        <v>789</v>
      </c>
      <c r="AB27" s="181"/>
    </row>
    <row r="28" spans="1:28" x14ac:dyDescent="0.2">
      <c r="B28" s="2"/>
      <c r="C28" s="2"/>
      <c r="D28" s="27"/>
      <c r="M28" s="26" t="s">
        <v>67</v>
      </c>
      <c r="N28" s="30"/>
      <c r="Y28" s="15" t="s">
        <v>28</v>
      </c>
      <c r="Z28" s="15" t="s">
        <v>29</v>
      </c>
    </row>
    <row r="29" spans="1:28" x14ac:dyDescent="0.2">
      <c r="B29" s="2"/>
      <c r="C29" s="2"/>
      <c r="D29" s="27"/>
      <c r="E29" s="25" t="s">
        <v>10</v>
      </c>
      <c r="F29" s="25" t="s">
        <v>11</v>
      </c>
      <c r="I29" s="15" t="s">
        <v>10</v>
      </c>
      <c r="J29" s="15" t="s">
        <v>11</v>
      </c>
      <c r="K29" s="182" t="s">
        <v>747</v>
      </c>
      <c r="L29" s="183"/>
      <c r="Q29" s="15" t="s">
        <v>10</v>
      </c>
      <c r="R29" s="120" t="s">
        <v>11</v>
      </c>
      <c r="S29" s="181" t="s">
        <v>755</v>
      </c>
      <c r="T29" s="181"/>
      <c r="Y29" s="15" t="s">
        <v>5</v>
      </c>
      <c r="Z29" s="15" t="s">
        <v>6</v>
      </c>
    </row>
    <row r="30" spans="1:28" x14ac:dyDescent="0.2">
      <c r="B30" s="2"/>
      <c r="C30" s="2"/>
      <c r="D30" s="27"/>
      <c r="E30" s="25" t="s">
        <v>28</v>
      </c>
      <c r="F30" s="25" t="s">
        <v>29</v>
      </c>
      <c r="I30" s="15" t="s">
        <v>28</v>
      </c>
      <c r="J30" s="15" t="s">
        <v>29</v>
      </c>
      <c r="M30" s="15" t="s">
        <v>22</v>
      </c>
      <c r="N30" s="15" t="s">
        <v>23</v>
      </c>
      <c r="O30" s="182" t="s">
        <v>751</v>
      </c>
      <c r="P30" s="183"/>
      <c r="Q30" s="15" t="s">
        <v>16</v>
      </c>
      <c r="R30" s="15" t="s">
        <v>17</v>
      </c>
      <c r="Y30" s="12" t="s">
        <v>59</v>
      </c>
      <c r="Z30" s="12" t="s">
        <v>93</v>
      </c>
    </row>
    <row r="31" spans="1:28" x14ac:dyDescent="0.2">
      <c r="B31" s="2"/>
      <c r="C31" s="2"/>
      <c r="D31" s="27"/>
      <c r="E31" s="25" t="s">
        <v>5</v>
      </c>
      <c r="F31" s="25" t="s">
        <v>6</v>
      </c>
      <c r="I31" s="15" t="s">
        <v>5</v>
      </c>
      <c r="J31" s="15" t="s">
        <v>6</v>
      </c>
      <c r="M31" s="15" t="s">
        <v>5</v>
      </c>
      <c r="N31" s="15" t="s">
        <v>6</v>
      </c>
      <c r="Q31" s="15" t="s">
        <v>5</v>
      </c>
      <c r="R31" s="15" t="s">
        <v>6</v>
      </c>
      <c r="Y31" s="12" t="s">
        <v>86</v>
      </c>
      <c r="Z31" s="16"/>
    </row>
    <row r="32" spans="1:28" x14ac:dyDescent="0.2">
      <c r="B32" s="2"/>
      <c r="C32" s="2"/>
      <c r="D32" s="27"/>
      <c r="E32" s="26" t="s">
        <v>35</v>
      </c>
      <c r="F32" s="26" t="s">
        <v>36</v>
      </c>
      <c r="I32" s="12" t="s">
        <v>45</v>
      </c>
      <c r="J32" s="12" t="s">
        <v>47</v>
      </c>
      <c r="M32" s="12" t="s">
        <v>55</v>
      </c>
      <c r="N32" s="12" t="s">
        <v>61</v>
      </c>
      <c r="Q32" s="15" t="s">
        <v>70</v>
      </c>
      <c r="R32" s="15" t="s">
        <v>75</v>
      </c>
    </row>
    <row r="33" spans="2:28" x14ac:dyDescent="0.2">
      <c r="B33" s="2"/>
      <c r="C33" s="2"/>
      <c r="D33" s="27"/>
      <c r="E33" s="26" t="s">
        <v>42</v>
      </c>
      <c r="F33" s="16"/>
      <c r="I33" s="12" t="s">
        <v>46</v>
      </c>
      <c r="J33" s="17"/>
      <c r="M33" s="12" t="s">
        <v>57</v>
      </c>
      <c r="N33" s="12" t="s">
        <v>64</v>
      </c>
      <c r="Q33" s="12" t="s">
        <v>67</v>
      </c>
      <c r="R33" s="32"/>
      <c r="Y33" s="15" t="s">
        <v>16</v>
      </c>
      <c r="Z33" s="15" t="s">
        <v>17</v>
      </c>
      <c r="AA33" s="181" t="s">
        <v>790</v>
      </c>
      <c r="AB33" s="181"/>
    </row>
    <row r="34" spans="2:28" x14ac:dyDescent="0.2">
      <c r="B34" s="2"/>
      <c r="C34" s="2"/>
      <c r="D34" s="27"/>
      <c r="E34" s="26" t="s">
        <v>51</v>
      </c>
      <c r="F34" s="16"/>
      <c r="I34" s="12" t="s">
        <v>51</v>
      </c>
      <c r="J34" s="17"/>
      <c r="M34" s="12" t="s">
        <v>67</v>
      </c>
      <c r="N34" s="30"/>
      <c r="Y34" s="15" t="s">
        <v>22</v>
      </c>
      <c r="Z34" s="15" t="s">
        <v>23</v>
      </c>
    </row>
    <row r="35" spans="2:28" x14ac:dyDescent="0.2">
      <c r="B35" s="2"/>
      <c r="C35" s="2"/>
      <c r="Q35" s="15" t="s">
        <v>10</v>
      </c>
      <c r="R35" s="120" t="s">
        <v>11</v>
      </c>
      <c r="S35" s="181" t="s">
        <v>756</v>
      </c>
      <c r="T35" s="181"/>
      <c r="Y35" s="15" t="s">
        <v>5</v>
      </c>
      <c r="Z35" s="15" t="s">
        <v>6</v>
      </c>
    </row>
    <row r="36" spans="2:28" x14ac:dyDescent="0.2">
      <c r="B36" s="2"/>
      <c r="C36" s="2"/>
      <c r="E36" s="25" t="s">
        <v>16</v>
      </c>
      <c r="F36" s="25" t="s">
        <v>17</v>
      </c>
      <c r="I36" s="15" t="s">
        <v>16</v>
      </c>
      <c r="J36" s="15" t="s">
        <v>17</v>
      </c>
      <c r="K36" s="182" t="s">
        <v>748</v>
      </c>
      <c r="L36" s="183"/>
      <c r="M36" s="25" t="s">
        <v>10</v>
      </c>
      <c r="N36" s="25" t="s">
        <v>11</v>
      </c>
      <c r="Q36" s="15" t="s">
        <v>16</v>
      </c>
      <c r="R36" s="15" t="s">
        <v>17</v>
      </c>
      <c r="Y36" s="12" t="s">
        <v>59</v>
      </c>
      <c r="Z36" s="12" t="s">
        <v>93</v>
      </c>
    </row>
    <row r="37" spans="2:28" x14ac:dyDescent="0.2">
      <c r="B37" s="2"/>
      <c r="C37" s="2"/>
      <c r="E37" s="25" t="s">
        <v>22</v>
      </c>
      <c r="F37" s="25" t="s">
        <v>23</v>
      </c>
      <c r="I37" s="15" t="s">
        <v>22</v>
      </c>
      <c r="J37" s="15" t="s">
        <v>23</v>
      </c>
      <c r="M37" s="25" t="s">
        <v>16</v>
      </c>
      <c r="N37" s="25" t="s">
        <v>17</v>
      </c>
      <c r="Q37" s="15" t="s">
        <v>5</v>
      </c>
      <c r="R37" s="15" t="s">
        <v>6</v>
      </c>
      <c r="Y37" s="12" t="s">
        <v>86</v>
      </c>
      <c r="Z37" s="16"/>
    </row>
    <row r="38" spans="2:28" x14ac:dyDescent="0.2">
      <c r="B38" s="2"/>
      <c r="C38" s="2"/>
      <c r="E38" s="25" t="s">
        <v>5</v>
      </c>
      <c r="F38" s="25" t="s">
        <v>6</v>
      </c>
      <c r="I38" s="15" t="s">
        <v>5</v>
      </c>
      <c r="J38" s="15" t="s">
        <v>6</v>
      </c>
      <c r="M38" s="25" t="s">
        <v>5</v>
      </c>
      <c r="N38" s="25" t="s">
        <v>6</v>
      </c>
      <c r="Q38" s="15" t="s">
        <v>71</v>
      </c>
      <c r="R38" s="15" t="s">
        <v>80</v>
      </c>
    </row>
    <row r="39" spans="2:28" x14ac:dyDescent="0.2">
      <c r="B39" s="2"/>
      <c r="C39" s="2"/>
      <c r="E39" s="26" t="s">
        <v>35</v>
      </c>
      <c r="F39" s="26" t="s">
        <v>36</v>
      </c>
      <c r="I39" s="12" t="s">
        <v>45</v>
      </c>
      <c r="J39" s="12" t="s">
        <v>47</v>
      </c>
      <c r="M39" s="26" t="s">
        <v>55</v>
      </c>
      <c r="N39" s="26" t="s">
        <v>61</v>
      </c>
      <c r="Q39" s="12" t="s">
        <v>67</v>
      </c>
      <c r="R39" s="32"/>
      <c r="Y39" s="15" t="s">
        <v>16</v>
      </c>
      <c r="Z39" s="15" t="s">
        <v>17</v>
      </c>
      <c r="AA39" s="181" t="s">
        <v>791</v>
      </c>
      <c r="AB39" s="181"/>
    </row>
    <row r="40" spans="2:28" x14ac:dyDescent="0.2">
      <c r="B40" s="2"/>
      <c r="C40" s="2"/>
      <c r="E40" s="26" t="s">
        <v>42</v>
      </c>
      <c r="F40" s="16"/>
      <c r="I40" s="12" t="s">
        <v>46</v>
      </c>
      <c r="J40" s="16"/>
      <c r="M40" s="26" t="s">
        <v>67</v>
      </c>
      <c r="N40" s="30"/>
      <c r="Y40" s="15" t="s">
        <v>28</v>
      </c>
      <c r="Z40" s="15" t="s">
        <v>29</v>
      </c>
    </row>
    <row r="41" spans="2:28" x14ac:dyDescent="0.2">
      <c r="B41" s="2"/>
      <c r="C41" s="2"/>
      <c r="E41" s="26" t="s">
        <v>51</v>
      </c>
      <c r="F41" s="16"/>
      <c r="I41" s="12" t="s">
        <v>52</v>
      </c>
      <c r="J41" s="16"/>
      <c r="Q41" s="15" t="s">
        <v>10</v>
      </c>
      <c r="R41" s="15" t="s">
        <v>11</v>
      </c>
      <c r="S41" s="181" t="s">
        <v>757</v>
      </c>
      <c r="T41" s="181"/>
      <c r="Y41" s="15" t="s">
        <v>5</v>
      </c>
      <c r="Z41" s="15" t="s">
        <v>6</v>
      </c>
    </row>
    <row r="42" spans="2:28" x14ac:dyDescent="0.2">
      <c r="B42" s="2"/>
      <c r="C42" s="2"/>
      <c r="M42" s="25" t="s">
        <v>10</v>
      </c>
      <c r="N42" s="25" t="s">
        <v>11</v>
      </c>
      <c r="Q42" s="15" t="s">
        <v>16</v>
      </c>
      <c r="R42" s="15" t="s">
        <v>17</v>
      </c>
      <c r="Y42" s="12" t="s">
        <v>59</v>
      </c>
      <c r="Z42" s="12" t="s">
        <v>93</v>
      </c>
    </row>
    <row r="43" spans="2:28" x14ac:dyDescent="0.2">
      <c r="B43" s="2"/>
      <c r="C43" s="2"/>
      <c r="E43" s="25" t="s">
        <v>16</v>
      </c>
      <c r="F43" s="25" t="s">
        <v>17</v>
      </c>
      <c r="I43" s="15" t="s">
        <v>16</v>
      </c>
      <c r="J43" s="15" t="s">
        <v>17</v>
      </c>
      <c r="K43" s="182" t="s">
        <v>749</v>
      </c>
      <c r="L43" s="183"/>
      <c r="M43" s="25" t="s">
        <v>16</v>
      </c>
      <c r="N43" s="25" t="s">
        <v>17</v>
      </c>
      <c r="Q43" s="15">
        <v>492</v>
      </c>
      <c r="R43" s="15">
        <v>-2.92</v>
      </c>
      <c r="Y43" s="12" t="s">
        <v>86</v>
      </c>
      <c r="Z43" s="16"/>
    </row>
    <row r="44" spans="2:28" x14ac:dyDescent="0.2">
      <c r="B44" s="2"/>
      <c r="C44" s="2"/>
      <c r="E44" s="25" t="s">
        <v>28</v>
      </c>
      <c r="F44" s="25" t="s">
        <v>29</v>
      </c>
      <c r="I44" s="15" t="s">
        <v>28</v>
      </c>
      <c r="J44" s="15" t="s">
        <v>29</v>
      </c>
      <c r="M44" s="25" t="s">
        <v>5</v>
      </c>
      <c r="N44" s="25" t="s">
        <v>6</v>
      </c>
      <c r="Q44" s="15" t="s">
        <v>70</v>
      </c>
      <c r="R44" s="15" t="s">
        <v>75</v>
      </c>
    </row>
    <row r="45" spans="2:28" x14ac:dyDescent="0.2">
      <c r="B45" s="2"/>
      <c r="C45" s="2"/>
      <c r="E45" s="25" t="s">
        <v>5</v>
      </c>
      <c r="F45" s="25" t="s">
        <v>6</v>
      </c>
      <c r="I45" s="15" t="s">
        <v>5</v>
      </c>
      <c r="J45" s="15" t="s">
        <v>6</v>
      </c>
      <c r="M45" s="26" t="s">
        <v>57</v>
      </c>
      <c r="N45" s="26" t="s">
        <v>64</v>
      </c>
      <c r="Q45" s="12" t="s">
        <v>67</v>
      </c>
      <c r="R45" s="32"/>
      <c r="Y45" s="15" t="s">
        <v>22</v>
      </c>
      <c r="Z45" s="15" t="s">
        <v>23</v>
      </c>
      <c r="AA45" s="181" t="s">
        <v>792</v>
      </c>
      <c r="AB45" s="181"/>
    </row>
    <row r="46" spans="2:28" x14ac:dyDescent="0.2">
      <c r="B46" s="2"/>
      <c r="C46" s="2"/>
      <c r="E46" s="26" t="s">
        <v>35</v>
      </c>
      <c r="F46" s="26" t="s">
        <v>36</v>
      </c>
      <c r="I46" s="12" t="s">
        <v>45</v>
      </c>
      <c r="J46" s="12" t="s">
        <v>47</v>
      </c>
      <c r="M46" s="26" t="s">
        <v>67</v>
      </c>
      <c r="N46" s="30"/>
      <c r="Y46" s="15" t="s">
        <v>28</v>
      </c>
      <c r="Z46" s="15" t="s">
        <v>29</v>
      </c>
    </row>
    <row r="47" spans="2:28" x14ac:dyDescent="0.2">
      <c r="B47" s="2"/>
      <c r="C47" s="2"/>
      <c r="E47" s="26" t="s">
        <v>42</v>
      </c>
      <c r="F47" s="16"/>
      <c r="I47" s="12" t="s">
        <v>46</v>
      </c>
      <c r="J47" s="16"/>
      <c r="Q47" s="15" t="s">
        <v>10</v>
      </c>
      <c r="R47" s="15" t="s">
        <v>11</v>
      </c>
      <c r="S47" s="181" t="s">
        <v>758</v>
      </c>
      <c r="T47" s="181"/>
      <c r="Y47" s="15" t="s">
        <v>5</v>
      </c>
      <c r="Z47" s="15" t="s">
        <v>6</v>
      </c>
    </row>
    <row r="48" spans="2:28" x14ac:dyDescent="0.2">
      <c r="B48" s="2"/>
      <c r="C48" s="2"/>
      <c r="E48" s="26" t="s">
        <v>51</v>
      </c>
      <c r="F48" s="16"/>
      <c r="I48" s="12" t="s">
        <v>51</v>
      </c>
      <c r="J48" s="16"/>
      <c r="M48" s="25" t="s">
        <v>10</v>
      </c>
      <c r="N48" s="25" t="s">
        <v>11</v>
      </c>
      <c r="Q48" s="15" t="s">
        <v>16</v>
      </c>
      <c r="R48" s="15" t="s">
        <v>17</v>
      </c>
      <c r="Y48" s="12" t="s">
        <v>59</v>
      </c>
      <c r="Z48" s="12" t="s">
        <v>93</v>
      </c>
    </row>
    <row r="49" spans="2:26" x14ac:dyDescent="0.2">
      <c r="B49" s="2"/>
      <c r="C49" s="2"/>
      <c r="M49" s="25" t="s">
        <v>16</v>
      </c>
      <c r="N49" s="25" t="s">
        <v>17</v>
      </c>
      <c r="Q49" s="15">
        <v>492</v>
      </c>
      <c r="R49" s="15">
        <v>-2.92</v>
      </c>
      <c r="Y49" s="12" t="s">
        <v>86</v>
      </c>
      <c r="Z49" s="16"/>
    </row>
    <row r="50" spans="2:26" x14ac:dyDescent="0.2">
      <c r="B50" s="2"/>
      <c r="C50" s="2"/>
      <c r="E50" s="25" t="s">
        <v>22</v>
      </c>
      <c r="F50" s="25" t="s">
        <v>23</v>
      </c>
      <c r="I50" s="15" t="s">
        <v>22</v>
      </c>
      <c r="J50" s="15" t="s">
        <v>23</v>
      </c>
      <c r="K50" s="182" t="s">
        <v>750</v>
      </c>
      <c r="L50" s="183"/>
      <c r="M50" s="26" t="s">
        <v>55</v>
      </c>
      <c r="N50" s="26" t="s">
        <v>61</v>
      </c>
      <c r="Q50" s="15" t="s">
        <v>71</v>
      </c>
      <c r="R50" s="15" t="s">
        <v>80</v>
      </c>
    </row>
    <row r="51" spans="2:26" x14ac:dyDescent="0.2">
      <c r="B51" s="2"/>
      <c r="C51" s="2"/>
      <c r="E51" s="25" t="s">
        <v>28</v>
      </c>
      <c r="F51" s="25" t="s">
        <v>29</v>
      </c>
      <c r="I51" s="15" t="s">
        <v>28</v>
      </c>
      <c r="J51" s="15" t="s">
        <v>29</v>
      </c>
      <c r="M51" s="26" t="s">
        <v>57</v>
      </c>
      <c r="N51" s="26" t="s">
        <v>64</v>
      </c>
      <c r="Q51" s="12" t="s">
        <v>67</v>
      </c>
      <c r="R51" s="32"/>
    </row>
    <row r="52" spans="2:26" x14ac:dyDescent="0.2">
      <c r="B52" s="2"/>
      <c r="C52" s="2"/>
      <c r="E52" s="25" t="s">
        <v>5</v>
      </c>
      <c r="F52" s="25" t="s">
        <v>6</v>
      </c>
      <c r="I52" s="15" t="s">
        <v>5</v>
      </c>
      <c r="J52" s="15" t="s">
        <v>6</v>
      </c>
      <c r="M52" s="26" t="s">
        <v>67</v>
      </c>
      <c r="N52" s="30"/>
    </row>
    <row r="53" spans="2:26" x14ac:dyDescent="0.2">
      <c r="B53" s="2"/>
      <c r="C53" s="2"/>
      <c r="E53" s="26" t="s">
        <v>35</v>
      </c>
      <c r="F53" s="26" t="s">
        <v>36</v>
      </c>
      <c r="I53" s="12" t="s">
        <v>45</v>
      </c>
      <c r="J53" s="12" t="s">
        <v>47</v>
      </c>
      <c r="Q53" s="15" t="s">
        <v>10</v>
      </c>
      <c r="R53" s="15" t="s">
        <v>11</v>
      </c>
      <c r="S53" s="181" t="s">
        <v>759</v>
      </c>
      <c r="T53" s="181"/>
    </row>
    <row r="54" spans="2:26" x14ac:dyDescent="0.2">
      <c r="B54" s="2"/>
      <c r="C54" s="2"/>
      <c r="E54" s="26" t="s">
        <v>42</v>
      </c>
      <c r="F54" s="16"/>
      <c r="I54" s="12" t="s">
        <v>46</v>
      </c>
      <c r="J54" s="16"/>
      <c r="M54" s="25" t="s">
        <v>10</v>
      </c>
      <c r="N54" s="25" t="s">
        <v>11</v>
      </c>
      <c r="Q54" s="15" t="s">
        <v>16</v>
      </c>
      <c r="R54" s="15" t="s">
        <v>17</v>
      </c>
    </row>
    <row r="55" spans="2:26" x14ac:dyDescent="0.2">
      <c r="B55" s="14"/>
      <c r="C55" s="14"/>
      <c r="E55" s="26" t="s">
        <v>51</v>
      </c>
      <c r="F55" s="16"/>
      <c r="I55" s="12" t="s">
        <v>51</v>
      </c>
      <c r="J55" s="16"/>
      <c r="M55" s="25" t="s">
        <v>22</v>
      </c>
      <c r="N55" s="25" t="s">
        <v>23</v>
      </c>
      <c r="Q55" s="15" t="s">
        <v>70</v>
      </c>
      <c r="R55" s="15" t="s">
        <v>75</v>
      </c>
    </row>
    <row r="56" spans="2:26" x14ac:dyDescent="0.2">
      <c r="B56" s="14"/>
      <c r="C56" s="14"/>
      <c r="M56" s="25" t="s">
        <v>5</v>
      </c>
      <c r="N56" s="25" t="s">
        <v>6</v>
      </c>
      <c r="Q56" s="15" t="s">
        <v>71</v>
      </c>
      <c r="R56" s="15" t="s">
        <v>80</v>
      </c>
    </row>
    <row r="57" spans="2:26" x14ac:dyDescent="0.2">
      <c r="B57" s="14"/>
      <c r="C57" s="14"/>
      <c r="M57" s="26" t="s">
        <v>55</v>
      </c>
      <c r="N57" s="26" t="s">
        <v>61</v>
      </c>
      <c r="Q57" s="12" t="s">
        <v>67</v>
      </c>
      <c r="R57" s="32"/>
    </row>
    <row r="58" spans="2:26" x14ac:dyDescent="0.2">
      <c r="B58" s="14"/>
      <c r="C58" s="14"/>
      <c r="M58" s="26" t="s">
        <v>67</v>
      </c>
      <c r="N58" s="30"/>
    </row>
    <row r="59" spans="2:26" x14ac:dyDescent="0.2">
      <c r="B59" s="14"/>
      <c r="C59" s="14"/>
      <c r="Q59" s="15" t="s">
        <v>16</v>
      </c>
      <c r="R59" s="15" t="s">
        <v>17</v>
      </c>
      <c r="S59" s="181" t="s">
        <v>760</v>
      </c>
      <c r="T59" s="181"/>
    </row>
    <row r="60" spans="2:26" x14ac:dyDescent="0.2">
      <c r="B60" s="14"/>
      <c r="C60" s="14"/>
      <c r="M60" s="25" t="s">
        <v>10</v>
      </c>
      <c r="N60" s="25" t="s">
        <v>11</v>
      </c>
      <c r="Q60" s="15" t="s">
        <v>22</v>
      </c>
      <c r="R60" s="15" t="s">
        <v>23</v>
      </c>
    </row>
    <row r="61" spans="2:26" x14ac:dyDescent="0.2">
      <c r="B61" s="14"/>
      <c r="C61" s="14"/>
      <c r="M61" s="25" t="s">
        <v>22</v>
      </c>
      <c r="N61" s="25" t="s">
        <v>23</v>
      </c>
      <c r="Q61" s="15" t="s">
        <v>5</v>
      </c>
      <c r="R61" s="15" t="s">
        <v>6</v>
      </c>
    </row>
    <row r="62" spans="2:26" x14ac:dyDescent="0.2">
      <c r="B62" s="14"/>
      <c r="C62" s="14"/>
      <c r="M62" s="25" t="s">
        <v>5</v>
      </c>
      <c r="N62" s="25" t="s">
        <v>6</v>
      </c>
      <c r="Q62" s="15">
        <v>492</v>
      </c>
      <c r="R62" s="15">
        <v>-2.92</v>
      </c>
    </row>
    <row r="63" spans="2:26" x14ac:dyDescent="0.2">
      <c r="B63" s="14"/>
      <c r="C63" s="14"/>
      <c r="M63" s="26" t="s">
        <v>57</v>
      </c>
      <c r="N63" s="26" t="s">
        <v>64</v>
      </c>
      <c r="Q63" s="12" t="s">
        <v>67</v>
      </c>
      <c r="R63" s="32"/>
    </row>
    <row r="64" spans="2:26" x14ac:dyDescent="0.2">
      <c r="B64" s="14"/>
      <c r="C64" s="14"/>
      <c r="M64" s="26" t="s">
        <v>67</v>
      </c>
      <c r="N64" s="30"/>
    </row>
    <row r="65" spans="2:20" x14ac:dyDescent="0.2">
      <c r="B65" s="14"/>
      <c r="C65" s="14"/>
      <c r="Q65" s="15" t="s">
        <v>16</v>
      </c>
      <c r="R65" s="15" t="s">
        <v>17</v>
      </c>
      <c r="S65" s="181" t="s">
        <v>761</v>
      </c>
      <c r="T65" s="181"/>
    </row>
    <row r="66" spans="2:20" x14ac:dyDescent="0.2">
      <c r="B66" s="14"/>
      <c r="C66" s="14"/>
      <c r="M66" s="15" t="s">
        <v>10</v>
      </c>
      <c r="N66" s="15" t="s">
        <v>11</v>
      </c>
      <c r="O66" s="182" t="s">
        <v>753</v>
      </c>
      <c r="P66" s="183"/>
      <c r="Q66" s="15" t="s">
        <v>22</v>
      </c>
      <c r="R66" s="15" t="s">
        <v>23</v>
      </c>
    </row>
    <row r="67" spans="2:20" x14ac:dyDescent="0.2">
      <c r="B67" s="14"/>
      <c r="C67" s="14"/>
      <c r="M67" s="15" t="s">
        <v>22</v>
      </c>
      <c r="N67" s="15" t="s">
        <v>23</v>
      </c>
      <c r="Q67" s="15" t="s">
        <v>5</v>
      </c>
      <c r="R67" s="15" t="s">
        <v>6</v>
      </c>
    </row>
    <row r="68" spans="2:20" x14ac:dyDescent="0.2">
      <c r="B68" s="14"/>
      <c r="C68" s="14"/>
      <c r="M68" s="12" t="s">
        <v>55</v>
      </c>
      <c r="N68" s="12" t="s">
        <v>61</v>
      </c>
      <c r="Q68" s="15" t="s">
        <v>70</v>
      </c>
      <c r="R68" s="15" t="s">
        <v>75</v>
      </c>
    </row>
    <row r="69" spans="2:20" x14ac:dyDescent="0.2">
      <c r="B69" s="14"/>
      <c r="C69" s="14"/>
      <c r="M69" s="12" t="s">
        <v>57</v>
      </c>
      <c r="N69" s="12" t="s">
        <v>64</v>
      </c>
      <c r="Q69" s="12" t="s">
        <v>67</v>
      </c>
      <c r="R69" s="32"/>
    </row>
    <row r="70" spans="2:20" x14ac:dyDescent="0.2">
      <c r="B70" s="14"/>
      <c r="C70" s="14"/>
      <c r="M70" s="12" t="s">
        <v>67</v>
      </c>
      <c r="N70" s="30"/>
    </row>
    <row r="71" spans="2:20" x14ac:dyDescent="0.2">
      <c r="B71" s="14"/>
      <c r="C71" s="14"/>
      <c r="Q71" s="15" t="s">
        <v>16</v>
      </c>
      <c r="R71" s="15" t="s">
        <v>17</v>
      </c>
      <c r="S71" s="181" t="s">
        <v>762</v>
      </c>
      <c r="T71" s="181"/>
    </row>
    <row r="72" spans="2:20" x14ac:dyDescent="0.2">
      <c r="M72" s="25" t="s">
        <v>10</v>
      </c>
      <c r="N72" s="25" t="s">
        <v>11</v>
      </c>
      <c r="Q72" s="15" t="s">
        <v>22</v>
      </c>
      <c r="R72" s="15" t="s">
        <v>23</v>
      </c>
    </row>
    <row r="73" spans="2:20" x14ac:dyDescent="0.2">
      <c r="M73" s="25" t="s">
        <v>28</v>
      </c>
      <c r="N73" s="25" t="s">
        <v>29</v>
      </c>
      <c r="Q73" s="15" t="s">
        <v>5</v>
      </c>
      <c r="R73" s="15" t="s">
        <v>6</v>
      </c>
    </row>
    <row r="74" spans="2:20" x14ac:dyDescent="0.2">
      <c r="M74" s="25" t="s">
        <v>5</v>
      </c>
      <c r="N74" s="25" t="s">
        <v>6</v>
      </c>
      <c r="Q74" s="15" t="s">
        <v>71</v>
      </c>
      <c r="R74" s="15" t="s">
        <v>80</v>
      </c>
    </row>
    <row r="75" spans="2:20" x14ac:dyDescent="0.2">
      <c r="M75" s="26" t="s">
        <v>55</v>
      </c>
      <c r="N75" s="26" t="s">
        <v>61</v>
      </c>
      <c r="Q75" s="12" t="s">
        <v>67</v>
      </c>
      <c r="R75" s="32"/>
    </row>
    <row r="76" spans="2:20" x14ac:dyDescent="0.2">
      <c r="M76" s="26" t="s">
        <v>67</v>
      </c>
      <c r="N76" s="30"/>
    </row>
    <row r="77" spans="2:20" x14ac:dyDescent="0.2">
      <c r="Q77" s="15" t="s">
        <v>16</v>
      </c>
      <c r="R77" s="15" t="s">
        <v>17</v>
      </c>
      <c r="S77" s="181" t="s">
        <v>763</v>
      </c>
      <c r="T77" s="181"/>
    </row>
    <row r="78" spans="2:20" x14ac:dyDescent="0.2">
      <c r="M78" s="25" t="s">
        <v>10</v>
      </c>
      <c r="N78" s="25" t="s">
        <v>11</v>
      </c>
      <c r="Q78" s="15" t="s">
        <v>22</v>
      </c>
      <c r="R78" s="15" t="s">
        <v>23</v>
      </c>
    </row>
    <row r="79" spans="2:20" x14ac:dyDescent="0.2">
      <c r="M79" s="25" t="s">
        <v>28</v>
      </c>
      <c r="N79" s="25" t="s">
        <v>29</v>
      </c>
      <c r="Q79" s="15">
        <v>492</v>
      </c>
      <c r="R79" s="15">
        <v>-2.92</v>
      </c>
    </row>
    <row r="80" spans="2:20" x14ac:dyDescent="0.2">
      <c r="M80" s="25" t="s">
        <v>5</v>
      </c>
      <c r="N80" s="25" t="s">
        <v>6</v>
      </c>
      <c r="Q80" s="15" t="s">
        <v>70</v>
      </c>
      <c r="R80" s="15" t="s">
        <v>75</v>
      </c>
    </row>
    <row r="81" spans="12:20" x14ac:dyDescent="0.2">
      <c r="M81" s="26" t="s">
        <v>57</v>
      </c>
      <c r="N81" s="26" t="s">
        <v>64</v>
      </c>
      <c r="Q81" s="12" t="s">
        <v>67</v>
      </c>
      <c r="R81" s="32"/>
    </row>
    <row r="82" spans="12:20" x14ac:dyDescent="0.2">
      <c r="M82" s="26" t="s">
        <v>67</v>
      </c>
      <c r="N82" s="30"/>
    </row>
    <row r="83" spans="12:20" x14ac:dyDescent="0.2">
      <c r="L83" s="32"/>
      <c r="M83" s="30"/>
      <c r="Q83" s="15" t="s">
        <v>16</v>
      </c>
      <c r="R83" s="15" t="s">
        <v>17</v>
      </c>
      <c r="S83" s="181" t="s">
        <v>764</v>
      </c>
      <c r="T83" s="181"/>
    </row>
    <row r="84" spans="12:20" x14ac:dyDescent="0.2">
      <c r="L84" s="32"/>
      <c r="M84" s="15" t="s">
        <v>10</v>
      </c>
      <c r="N84" s="15" t="s">
        <v>11</v>
      </c>
      <c r="O84" s="182" t="s">
        <v>752</v>
      </c>
      <c r="P84" s="183"/>
      <c r="Q84" s="15" t="s">
        <v>22</v>
      </c>
      <c r="R84" s="15" t="s">
        <v>23</v>
      </c>
    </row>
    <row r="85" spans="12:20" x14ac:dyDescent="0.2">
      <c r="M85" s="15" t="s">
        <v>28</v>
      </c>
      <c r="N85" s="15" t="s">
        <v>29</v>
      </c>
      <c r="Q85" s="15">
        <v>492</v>
      </c>
      <c r="R85" s="15">
        <v>-2.92</v>
      </c>
    </row>
    <row r="86" spans="12:20" x14ac:dyDescent="0.2">
      <c r="M86" s="12" t="s">
        <v>55</v>
      </c>
      <c r="N86" s="12" t="s">
        <v>61</v>
      </c>
      <c r="Q86" s="15" t="s">
        <v>71</v>
      </c>
      <c r="R86" s="15" t="s">
        <v>80</v>
      </c>
    </row>
    <row r="87" spans="12:20" x14ac:dyDescent="0.2">
      <c r="M87" s="12" t="s">
        <v>57</v>
      </c>
      <c r="N87" s="12" t="s">
        <v>64</v>
      </c>
      <c r="Q87" s="12" t="s">
        <v>67</v>
      </c>
      <c r="R87" s="32"/>
    </row>
    <row r="88" spans="12:20" x14ac:dyDescent="0.2">
      <c r="M88" s="12" t="s">
        <v>67</v>
      </c>
      <c r="N88" s="30"/>
    </row>
    <row r="89" spans="12:20" x14ac:dyDescent="0.2">
      <c r="Q89" s="15" t="s">
        <v>16</v>
      </c>
      <c r="R89" s="15" t="s">
        <v>17</v>
      </c>
      <c r="S89" s="181" t="s">
        <v>765</v>
      </c>
      <c r="T89" s="181"/>
    </row>
    <row r="90" spans="12:20" x14ac:dyDescent="0.2">
      <c r="M90" s="25" t="s">
        <v>16</v>
      </c>
      <c r="N90" s="25" t="s">
        <v>17</v>
      </c>
      <c r="Q90" s="15" t="s">
        <v>22</v>
      </c>
      <c r="R90" s="15" t="s">
        <v>23</v>
      </c>
    </row>
    <row r="91" spans="12:20" x14ac:dyDescent="0.2">
      <c r="M91" s="25" t="s">
        <v>22</v>
      </c>
      <c r="N91" s="25" t="s">
        <v>23</v>
      </c>
      <c r="Q91" s="15" t="s">
        <v>70</v>
      </c>
      <c r="R91" s="15" t="s">
        <v>75</v>
      </c>
    </row>
    <row r="92" spans="12:20" x14ac:dyDescent="0.2">
      <c r="M92" s="25" t="s">
        <v>5</v>
      </c>
      <c r="N92" s="25" t="s">
        <v>6</v>
      </c>
      <c r="Q92" s="15" t="s">
        <v>71</v>
      </c>
      <c r="R92" s="15" t="s">
        <v>80</v>
      </c>
    </row>
    <row r="93" spans="12:20" x14ac:dyDescent="0.2">
      <c r="M93" s="26" t="s">
        <v>55</v>
      </c>
      <c r="N93" s="26" t="s">
        <v>61</v>
      </c>
      <c r="Q93" s="12" t="s">
        <v>67</v>
      </c>
      <c r="R93" s="32"/>
    </row>
    <row r="94" spans="12:20" x14ac:dyDescent="0.2">
      <c r="M94" s="26" t="s">
        <v>67</v>
      </c>
      <c r="N94" s="30"/>
    </row>
    <row r="95" spans="12:20" x14ac:dyDescent="0.2">
      <c r="Q95" s="25" t="s">
        <v>10</v>
      </c>
      <c r="R95" s="25" t="s">
        <v>11</v>
      </c>
    </row>
    <row r="96" spans="12:20" x14ac:dyDescent="0.2">
      <c r="M96" s="25" t="s">
        <v>16</v>
      </c>
      <c r="N96" s="25" t="s">
        <v>17</v>
      </c>
      <c r="Q96" s="25" t="s">
        <v>22</v>
      </c>
      <c r="R96" s="25" t="s">
        <v>23</v>
      </c>
    </row>
    <row r="97" spans="13:20" x14ac:dyDescent="0.2">
      <c r="M97" s="25" t="s">
        <v>22</v>
      </c>
      <c r="N97" s="25" t="s">
        <v>23</v>
      </c>
      <c r="Q97" s="25" t="s">
        <v>5</v>
      </c>
      <c r="R97" s="25" t="s">
        <v>6</v>
      </c>
    </row>
    <row r="98" spans="13:20" x14ac:dyDescent="0.2">
      <c r="M98" s="25" t="s">
        <v>5</v>
      </c>
      <c r="N98" s="25" t="s">
        <v>6</v>
      </c>
      <c r="Q98" s="25">
        <v>492</v>
      </c>
      <c r="R98" s="25">
        <v>-2.92</v>
      </c>
    </row>
    <row r="99" spans="13:20" x14ac:dyDescent="0.2">
      <c r="M99" s="26" t="s">
        <v>57</v>
      </c>
      <c r="N99" s="26" t="s">
        <v>64</v>
      </c>
      <c r="Q99" s="26" t="s">
        <v>67</v>
      </c>
      <c r="R99" s="32"/>
    </row>
    <row r="100" spans="13:20" x14ac:dyDescent="0.2">
      <c r="M100" s="26" t="s">
        <v>67</v>
      </c>
      <c r="N100" s="30"/>
    </row>
    <row r="101" spans="13:20" x14ac:dyDescent="0.2">
      <c r="Q101" s="15" t="s">
        <v>10</v>
      </c>
      <c r="R101" s="15" t="s">
        <v>11</v>
      </c>
      <c r="S101" s="181" t="s">
        <v>767</v>
      </c>
      <c r="T101" s="181"/>
    </row>
    <row r="102" spans="13:20" x14ac:dyDescent="0.2">
      <c r="M102" s="25" t="s">
        <v>16</v>
      </c>
      <c r="N102" s="25" t="s">
        <v>17</v>
      </c>
      <c r="Q102" s="15" t="s">
        <v>22</v>
      </c>
      <c r="R102" s="15" t="s">
        <v>23</v>
      </c>
    </row>
    <row r="103" spans="13:20" x14ac:dyDescent="0.2">
      <c r="M103" s="25" t="s">
        <v>22</v>
      </c>
      <c r="N103" s="25" t="s">
        <v>23</v>
      </c>
      <c r="Q103" s="15" t="s">
        <v>5</v>
      </c>
      <c r="R103" s="15" t="s">
        <v>6</v>
      </c>
    </row>
    <row r="104" spans="13:20" x14ac:dyDescent="0.2">
      <c r="M104" s="26" t="s">
        <v>55</v>
      </c>
      <c r="N104" s="26" t="s">
        <v>61</v>
      </c>
      <c r="Q104" s="15" t="s">
        <v>70</v>
      </c>
      <c r="R104" s="15" t="s">
        <v>75</v>
      </c>
    </row>
    <row r="105" spans="13:20" x14ac:dyDescent="0.2">
      <c r="M105" s="26" t="s">
        <v>57</v>
      </c>
      <c r="N105" s="26" t="s">
        <v>64</v>
      </c>
      <c r="Q105" s="12" t="s">
        <v>67</v>
      </c>
      <c r="R105" s="32"/>
    </row>
    <row r="106" spans="13:20" x14ac:dyDescent="0.2">
      <c r="M106" s="26" t="s">
        <v>67</v>
      </c>
      <c r="N106" s="30"/>
    </row>
    <row r="107" spans="13:20" x14ac:dyDescent="0.2">
      <c r="Q107" s="15" t="s">
        <v>10</v>
      </c>
      <c r="R107" s="15" t="s">
        <v>11</v>
      </c>
      <c r="S107" s="181" t="s">
        <v>766</v>
      </c>
      <c r="T107" s="181"/>
    </row>
    <row r="108" spans="13:20" x14ac:dyDescent="0.2">
      <c r="M108" s="25" t="s">
        <v>16</v>
      </c>
      <c r="N108" s="25" t="s">
        <v>17</v>
      </c>
      <c r="Q108" s="15" t="s">
        <v>22</v>
      </c>
      <c r="R108" s="15" t="s">
        <v>23</v>
      </c>
    </row>
    <row r="109" spans="13:20" x14ac:dyDescent="0.2">
      <c r="M109" s="25" t="s">
        <v>28</v>
      </c>
      <c r="N109" s="25" t="s">
        <v>29</v>
      </c>
      <c r="Q109" s="15" t="s">
        <v>5</v>
      </c>
      <c r="R109" s="15" t="s">
        <v>6</v>
      </c>
    </row>
    <row r="110" spans="13:20" x14ac:dyDescent="0.2">
      <c r="M110" s="25" t="s">
        <v>5</v>
      </c>
      <c r="N110" s="25" t="s">
        <v>6</v>
      </c>
      <c r="Q110" s="15" t="s">
        <v>71</v>
      </c>
      <c r="R110" s="15" t="s">
        <v>80</v>
      </c>
    </row>
    <row r="111" spans="13:20" x14ac:dyDescent="0.2">
      <c r="M111" s="26" t="s">
        <v>55</v>
      </c>
      <c r="N111" s="26" t="s">
        <v>61</v>
      </c>
      <c r="Q111" s="12" t="s">
        <v>67</v>
      </c>
      <c r="R111" s="32"/>
    </row>
    <row r="112" spans="13:20" x14ac:dyDescent="0.2">
      <c r="M112" s="26" t="s">
        <v>67</v>
      </c>
      <c r="N112" s="30"/>
    </row>
    <row r="113" spans="13:20" x14ac:dyDescent="0.2">
      <c r="Q113" s="15" t="s">
        <v>10</v>
      </c>
      <c r="R113" s="15" t="s">
        <v>11</v>
      </c>
      <c r="S113" s="181" t="s">
        <v>768</v>
      </c>
      <c r="T113" s="181"/>
    </row>
    <row r="114" spans="13:20" x14ac:dyDescent="0.2">
      <c r="M114" s="25" t="s">
        <v>16</v>
      </c>
      <c r="N114" s="25" t="s">
        <v>17</v>
      </c>
      <c r="Q114" s="15" t="s">
        <v>22</v>
      </c>
      <c r="R114" s="15" t="s">
        <v>23</v>
      </c>
    </row>
    <row r="115" spans="13:20" x14ac:dyDescent="0.2">
      <c r="M115" s="25" t="s">
        <v>28</v>
      </c>
      <c r="N115" s="25" t="s">
        <v>29</v>
      </c>
      <c r="Q115" s="15">
        <v>492</v>
      </c>
      <c r="R115" s="15">
        <v>-2.92</v>
      </c>
    </row>
    <row r="116" spans="13:20" x14ac:dyDescent="0.2">
      <c r="M116" s="25" t="s">
        <v>5</v>
      </c>
      <c r="N116" s="25" t="s">
        <v>6</v>
      </c>
      <c r="Q116" s="15" t="s">
        <v>70</v>
      </c>
      <c r="R116" s="15" t="s">
        <v>75</v>
      </c>
    </row>
    <row r="117" spans="13:20" x14ac:dyDescent="0.2">
      <c r="M117" s="26" t="s">
        <v>57</v>
      </c>
      <c r="N117" s="26" t="s">
        <v>64</v>
      </c>
      <c r="Q117" s="12" t="s">
        <v>67</v>
      </c>
      <c r="R117" s="32"/>
    </row>
    <row r="118" spans="13:20" x14ac:dyDescent="0.2">
      <c r="M118" s="26" t="s">
        <v>67</v>
      </c>
      <c r="N118" s="30"/>
    </row>
    <row r="119" spans="13:20" x14ac:dyDescent="0.2">
      <c r="Q119" s="15" t="s">
        <v>10</v>
      </c>
      <c r="R119" s="15" t="s">
        <v>11</v>
      </c>
      <c r="S119" s="181" t="s">
        <v>769</v>
      </c>
      <c r="T119" s="181"/>
    </row>
    <row r="120" spans="13:20" x14ac:dyDescent="0.2">
      <c r="M120" s="25" t="s">
        <v>16</v>
      </c>
      <c r="N120" s="25" t="s">
        <v>17</v>
      </c>
      <c r="Q120" s="15" t="s">
        <v>22</v>
      </c>
      <c r="R120" s="15" t="s">
        <v>23</v>
      </c>
    </row>
    <row r="121" spans="13:20" x14ac:dyDescent="0.2">
      <c r="M121" s="25" t="s">
        <v>28</v>
      </c>
      <c r="N121" s="25" t="s">
        <v>29</v>
      </c>
      <c r="Q121" s="15">
        <v>492</v>
      </c>
      <c r="R121" s="15">
        <v>-2.92</v>
      </c>
    </row>
    <row r="122" spans="13:20" x14ac:dyDescent="0.2">
      <c r="M122" s="26" t="s">
        <v>55</v>
      </c>
      <c r="N122" s="26" t="s">
        <v>61</v>
      </c>
      <c r="Q122" s="15" t="s">
        <v>71</v>
      </c>
      <c r="R122" s="15" t="s">
        <v>80</v>
      </c>
    </row>
    <row r="123" spans="13:20" x14ac:dyDescent="0.2">
      <c r="M123" s="26" t="s">
        <v>57</v>
      </c>
      <c r="N123" s="26" t="s">
        <v>64</v>
      </c>
      <c r="Q123" s="12" t="s">
        <v>67</v>
      </c>
      <c r="R123" s="32"/>
    </row>
    <row r="124" spans="13:20" x14ac:dyDescent="0.2">
      <c r="M124" s="26" t="s">
        <v>67</v>
      </c>
      <c r="N124" s="30"/>
      <c r="Q124" s="37"/>
      <c r="R124" s="32"/>
    </row>
    <row r="125" spans="13:20" x14ac:dyDescent="0.2">
      <c r="Q125" s="15" t="s">
        <v>10</v>
      </c>
      <c r="R125" s="15" t="s">
        <v>11</v>
      </c>
      <c r="S125" s="181" t="s">
        <v>770</v>
      </c>
      <c r="T125" s="181"/>
    </row>
    <row r="126" spans="13:20" x14ac:dyDescent="0.2">
      <c r="M126" s="25" t="s">
        <v>22</v>
      </c>
      <c r="N126" s="25" t="s">
        <v>23</v>
      </c>
      <c r="Q126" s="15" t="s">
        <v>22</v>
      </c>
      <c r="R126" s="15" t="s">
        <v>23</v>
      </c>
    </row>
    <row r="127" spans="13:20" x14ac:dyDescent="0.2">
      <c r="M127" s="25" t="s">
        <v>28</v>
      </c>
      <c r="N127" s="25" t="s">
        <v>29</v>
      </c>
      <c r="Q127" s="15" t="s">
        <v>70</v>
      </c>
      <c r="R127" s="15" t="s">
        <v>75</v>
      </c>
    </row>
    <row r="128" spans="13:20" x14ac:dyDescent="0.2">
      <c r="M128" s="25" t="s">
        <v>5</v>
      </c>
      <c r="N128" s="25" t="s">
        <v>6</v>
      </c>
      <c r="Q128" s="15" t="s">
        <v>71</v>
      </c>
      <c r="R128" s="15" t="s">
        <v>80</v>
      </c>
    </row>
    <row r="129" spans="13:20" x14ac:dyDescent="0.2">
      <c r="M129" s="26" t="s">
        <v>55</v>
      </c>
      <c r="N129" s="26" t="s">
        <v>61</v>
      </c>
      <c r="Q129" s="12" t="s">
        <v>67</v>
      </c>
      <c r="R129" s="32"/>
    </row>
    <row r="130" spans="13:20" x14ac:dyDescent="0.2">
      <c r="M130" s="26" t="s">
        <v>67</v>
      </c>
      <c r="N130" s="30"/>
    </row>
    <row r="131" spans="13:20" x14ac:dyDescent="0.2">
      <c r="Q131" s="25" t="s">
        <v>10</v>
      </c>
      <c r="R131" s="25" t="s">
        <v>11</v>
      </c>
    </row>
    <row r="132" spans="13:20" x14ac:dyDescent="0.2">
      <c r="M132" s="25" t="s">
        <v>22</v>
      </c>
      <c r="N132" s="25" t="s">
        <v>23</v>
      </c>
      <c r="Q132" s="25" t="s">
        <v>28</v>
      </c>
      <c r="R132" s="25" t="s">
        <v>29</v>
      </c>
    </row>
    <row r="133" spans="13:20" x14ac:dyDescent="0.2">
      <c r="M133" s="25" t="s">
        <v>28</v>
      </c>
      <c r="N133" s="25" t="s">
        <v>29</v>
      </c>
      <c r="Q133" s="25" t="s">
        <v>5</v>
      </c>
      <c r="R133" s="25" t="s">
        <v>6</v>
      </c>
    </row>
    <row r="134" spans="13:20" x14ac:dyDescent="0.2">
      <c r="M134" s="25" t="s">
        <v>5</v>
      </c>
      <c r="N134" s="25" t="s">
        <v>6</v>
      </c>
      <c r="Q134" s="25">
        <v>492</v>
      </c>
      <c r="R134" s="25">
        <v>-2.92</v>
      </c>
    </row>
    <row r="135" spans="13:20" x14ac:dyDescent="0.2">
      <c r="M135" s="26" t="s">
        <v>57</v>
      </c>
      <c r="N135" s="26" t="s">
        <v>64</v>
      </c>
      <c r="Q135" s="26" t="s">
        <v>67</v>
      </c>
      <c r="R135" s="32"/>
    </row>
    <row r="136" spans="13:20" x14ac:dyDescent="0.2">
      <c r="M136" s="26" t="s">
        <v>67</v>
      </c>
      <c r="N136" s="30"/>
      <c r="Q136"/>
      <c r="R136"/>
    </row>
    <row r="137" spans="13:20" x14ac:dyDescent="0.2">
      <c r="Q137" s="25" t="s">
        <v>10</v>
      </c>
      <c r="R137" s="25" t="s">
        <v>11</v>
      </c>
    </row>
    <row r="138" spans="13:20" x14ac:dyDescent="0.2">
      <c r="M138" s="25" t="s">
        <v>22</v>
      </c>
      <c r="N138" s="25" t="s">
        <v>23</v>
      </c>
      <c r="Q138" s="25" t="s">
        <v>28</v>
      </c>
      <c r="R138" s="25" t="s">
        <v>29</v>
      </c>
    </row>
    <row r="139" spans="13:20" x14ac:dyDescent="0.2">
      <c r="M139" s="25" t="s">
        <v>28</v>
      </c>
      <c r="N139" s="25" t="s">
        <v>29</v>
      </c>
      <c r="Q139" s="25" t="s">
        <v>5</v>
      </c>
      <c r="R139" s="25" t="s">
        <v>6</v>
      </c>
    </row>
    <row r="140" spans="13:20" x14ac:dyDescent="0.2">
      <c r="M140" s="26" t="s">
        <v>55</v>
      </c>
      <c r="N140" s="26" t="s">
        <v>61</v>
      </c>
      <c r="Q140" s="25" t="s">
        <v>70</v>
      </c>
      <c r="R140" s="25" t="s">
        <v>75</v>
      </c>
    </row>
    <row r="141" spans="13:20" x14ac:dyDescent="0.2">
      <c r="M141" s="26" t="s">
        <v>57</v>
      </c>
      <c r="N141" s="26" t="s">
        <v>64</v>
      </c>
      <c r="Q141" s="26" t="s">
        <v>67</v>
      </c>
      <c r="R141" s="32"/>
    </row>
    <row r="142" spans="13:20" x14ac:dyDescent="0.2">
      <c r="M142" s="26" t="s">
        <v>67</v>
      </c>
      <c r="N142" s="30"/>
      <c r="Q142"/>
      <c r="R142"/>
    </row>
    <row r="143" spans="13:20" x14ac:dyDescent="0.2">
      <c r="Q143" s="15" t="s">
        <v>10</v>
      </c>
      <c r="R143" s="15" t="s">
        <v>11</v>
      </c>
      <c r="S143" s="181" t="s">
        <v>771</v>
      </c>
      <c r="T143" s="181"/>
    </row>
    <row r="144" spans="13:20" x14ac:dyDescent="0.2">
      <c r="Q144" s="15" t="s">
        <v>28</v>
      </c>
      <c r="R144" s="15" t="s">
        <v>29</v>
      </c>
    </row>
    <row r="145" spans="17:20" x14ac:dyDescent="0.2">
      <c r="Q145" s="15" t="s">
        <v>5</v>
      </c>
      <c r="R145" s="15" t="s">
        <v>6</v>
      </c>
    </row>
    <row r="146" spans="17:20" x14ac:dyDescent="0.2">
      <c r="Q146" s="15" t="s">
        <v>71</v>
      </c>
      <c r="R146" s="15" t="s">
        <v>80</v>
      </c>
    </row>
    <row r="147" spans="17:20" x14ac:dyDescent="0.2">
      <c r="Q147" s="12" t="s">
        <v>67</v>
      </c>
      <c r="R147" s="32"/>
    </row>
    <row r="148" spans="17:20" x14ac:dyDescent="0.2">
      <c r="Q148"/>
      <c r="R148"/>
    </row>
    <row r="149" spans="17:20" x14ac:dyDescent="0.2">
      <c r="Q149" s="15" t="s">
        <v>10</v>
      </c>
      <c r="R149" s="15" t="s">
        <v>11</v>
      </c>
      <c r="S149" s="181" t="s">
        <v>772</v>
      </c>
      <c r="T149" s="181"/>
    </row>
    <row r="150" spans="17:20" x14ac:dyDescent="0.2">
      <c r="Q150" s="15" t="s">
        <v>28</v>
      </c>
      <c r="R150" s="15" t="s">
        <v>29</v>
      </c>
    </row>
    <row r="151" spans="17:20" x14ac:dyDescent="0.2">
      <c r="Q151" s="15">
        <v>492</v>
      </c>
      <c r="R151" s="15">
        <v>-2.92</v>
      </c>
    </row>
    <row r="152" spans="17:20" x14ac:dyDescent="0.2">
      <c r="Q152" s="15" t="s">
        <v>70</v>
      </c>
      <c r="R152" s="15" t="s">
        <v>75</v>
      </c>
    </row>
    <row r="153" spans="17:20" x14ac:dyDescent="0.2">
      <c r="Q153" s="12" t="s">
        <v>67</v>
      </c>
      <c r="R153" s="32"/>
    </row>
    <row r="154" spans="17:20" x14ac:dyDescent="0.2">
      <c r="Q154"/>
      <c r="R154"/>
    </row>
    <row r="155" spans="17:20" x14ac:dyDescent="0.2">
      <c r="Q155" s="15" t="s">
        <v>10</v>
      </c>
      <c r="R155" s="15" t="s">
        <v>11</v>
      </c>
      <c r="S155" s="181" t="s">
        <v>773</v>
      </c>
      <c r="T155" s="181"/>
    </row>
    <row r="156" spans="17:20" x14ac:dyDescent="0.2">
      <c r="Q156" s="15" t="s">
        <v>28</v>
      </c>
      <c r="R156" s="15" t="s">
        <v>29</v>
      </c>
    </row>
    <row r="157" spans="17:20" x14ac:dyDescent="0.2">
      <c r="Q157" s="15">
        <v>492</v>
      </c>
      <c r="R157" s="15">
        <v>-2.92</v>
      </c>
    </row>
    <row r="158" spans="17:20" x14ac:dyDescent="0.2">
      <c r="Q158" s="15" t="s">
        <v>71</v>
      </c>
      <c r="R158" s="15" t="s">
        <v>80</v>
      </c>
    </row>
    <row r="159" spans="17:20" x14ac:dyDescent="0.2">
      <c r="Q159" s="12" t="s">
        <v>67</v>
      </c>
      <c r="R159" s="32"/>
    </row>
    <row r="160" spans="17:20" x14ac:dyDescent="0.2">
      <c r="Q160"/>
      <c r="R160"/>
    </row>
    <row r="161" spans="17:20" x14ac:dyDescent="0.2">
      <c r="Q161" s="15" t="s">
        <v>10</v>
      </c>
      <c r="R161" s="15" t="s">
        <v>11</v>
      </c>
      <c r="S161" s="181" t="s">
        <v>774</v>
      </c>
      <c r="T161" s="181"/>
    </row>
    <row r="162" spans="17:20" x14ac:dyDescent="0.2">
      <c r="Q162" s="15" t="s">
        <v>28</v>
      </c>
      <c r="R162" s="15" t="s">
        <v>29</v>
      </c>
    </row>
    <row r="163" spans="17:20" x14ac:dyDescent="0.2">
      <c r="Q163" s="15" t="s">
        <v>70</v>
      </c>
      <c r="R163" s="15" t="s">
        <v>75</v>
      </c>
    </row>
    <row r="164" spans="17:20" x14ac:dyDescent="0.2">
      <c r="Q164" s="15" t="s">
        <v>71</v>
      </c>
      <c r="R164" s="15" t="s">
        <v>80</v>
      </c>
    </row>
    <row r="165" spans="17:20" x14ac:dyDescent="0.2">
      <c r="Q165" s="12" t="s">
        <v>67</v>
      </c>
      <c r="R165" s="32"/>
    </row>
    <row r="166" spans="17:20" x14ac:dyDescent="0.2">
      <c r="Q166"/>
      <c r="R166"/>
    </row>
    <row r="167" spans="17:20" x14ac:dyDescent="0.2">
      <c r="Q167" s="15" t="s">
        <v>16</v>
      </c>
      <c r="R167" s="15" t="s">
        <v>17</v>
      </c>
      <c r="S167" s="181" t="s">
        <v>775</v>
      </c>
      <c r="T167" s="181"/>
    </row>
    <row r="168" spans="17:20" x14ac:dyDescent="0.2">
      <c r="Q168" s="15" t="s">
        <v>28</v>
      </c>
      <c r="R168" s="15" t="s">
        <v>29</v>
      </c>
    </row>
    <row r="169" spans="17:20" x14ac:dyDescent="0.2">
      <c r="Q169" s="15" t="s">
        <v>5</v>
      </c>
      <c r="R169" s="15" t="s">
        <v>6</v>
      </c>
    </row>
    <row r="170" spans="17:20" x14ac:dyDescent="0.2">
      <c r="Q170" s="15">
        <v>492</v>
      </c>
      <c r="R170" s="15">
        <v>-2.92</v>
      </c>
    </row>
    <row r="171" spans="17:20" x14ac:dyDescent="0.2">
      <c r="Q171" s="12" t="s">
        <v>67</v>
      </c>
      <c r="R171" s="32"/>
    </row>
    <row r="172" spans="17:20" x14ac:dyDescent="0.2">
      <c r="Q172"/>
      <c r="R172"/>
    </row>
    <row r="173" spans="17:20" x14ac:dyDescent="0.2">
      <c r="Q173" s="15" t="s">
        <v>16</v>
      </c>
      <c r="R173" s="15" t="s">
        <v>17</v>
      </c>
      <c r="S173" s="181" t="s">
        <v>776</v>
      </c>
      <c r="T173" s="181"/>
    </row>
    <row r="174" spans="17:20" x14ac:dyDescent="0.2">
      <c r="Q174" s="15" t="s">
        <v>28</v>
      </c>
      <c r="R174" s="15" t="s">
        <v>29</v>
      </c>
    </row>
    <row r="175" spans="17:20" x14ac:dyDescent="0.2">
      <c r="Q175" s="15" t="s">
        <v>5</v>
      </c>
      <c r="R175" s="15" t="s">
        <v>6</v>
      </c>
    </row>
    <row r="176" spans="17:20" x14ac:dyDescent="0.2">
      <c r="Q176" s="15" t="s">
        <v>70</v>
      </c>
      <c r="R176" s="15" t="s">
        <v>75</v>
      </c>
    </row>
    <row r="177" spans="17:20" x14ac:dyDescent="0.2">
      <c r="Q177" s="12" t="s">
        <v>67</v>
      </c>
      <c r="R177" s="32"/>
    </row>
    <row r="178" spans="17:20" x14ac:dyDescent="0.2">
      <c r="Q178"/>
      <c r="R178"/>
    </row>
    <row r="179" spans="17:20" x14ac:dyDescent="0.2">
      <c r="Q179" s="15" t="s">
        <v>16</v>
      </c>
      <c r="R179" s="15" t="s">
        <v>17</v>
      </c>
      <c r="S179" s="181" t="s">
        <v>777</v>
      </c>
      <c r="T179" s="181"/>
    </row>
    <row r="180" spans="17:20" x14ac:dyDescent="0.2">
      <c r="Q180" s="15" t="s">
        <v>28</v>
      </c>
      <c r="R180" s="15" t="s">
        <v>29</v>
      </c>
    </row>
    <row r="181" spans="17:20" x14ac:dyDescent="0.2">
      <c r="Q181" s="15" t="s">
        <v>5</v>
      </c>
      <c r="R181" s="15" t="s">
        <v>6</v>
      </c>
    </row>
    <row r="182" spans="17:20" x14ac:dyDescent="0.2">
      <c r="Q182" s="15" t="s">
        <v>71</v>
      </c>
      <c r="R182" s="15" t="s">
        <v>80</v>
      </c>
    </row>
    <row r="183" spans="17:20" x14ac:dyDescent="0.2">
      <c r="Q183" s="12" t="s">
        <v>67</v>
      </c>
      <c r="R183" s="32"/>
    </row>
    <row r="184" spans="17:20" x14ac:dyDescent="0.2">
      <c r="Q184"/>
      <c r="R184"/>
    </row>
    <row r="185" spans="17:20" x14ac:dyDescent="0.2">
      <c r="Q185" s="15" t="s">
        <v>16</v>
      </c>
      <c r="R185" s="15" t="s">
        <v>17</v>
      </c>
      <c r="S185" s="181" t="s">
        <v>778</v>
      </c>
      <c r="T185" s="181"/>
    </row>
    <row r="186" spans="17:20" x14ac:dyDescent="0.2">
      <c r="Q186" s="15" t="s">
        <v>28</v>
      </c>
      <c r="R186" s="15" t="s">
        <v>29</v>
      </c>
    </row>
    <row r="187" spans="17:20" x14ac:dyDescent="0.2">
      <c r="Q187" s="15">
        <v>492</v>
      </c>
      <c r="R187" s="15">
        <v>-2.92</v>
      </c>
    </row>
    <row r="188" spans="17:20" x14ac:dyDescent="0.2">
      <c r="Q188" s="15" t="s">
        <v>70</v>
      </c>
      <c r="R188" s="15" t="s">
        <v>75</v>
      </c>
    </row>
    <row r="189" spans="17:20" x14ac:dyDescent="0.2">
      <c r="Q189" s="12" t="s">
        <v>67</v>
      </c>
      <c r="R189" s="32"/>
    </row>
    <row r="190" spans="17:20" x14ac:dyDescent="0.2">
      <c r="Q190"/>
      <c r="R190"/>
    </row>
    <row r="191" spans="17:20" x14ac:dyDescent="0.2">
      <c r="Q191" s="15" t="s">
        <v>16</v>
      </c>
      <c r="R191" s="15" t="s">
        <v>17</v>
      </c>
      <c r="S191" s="181" t="s">
        <v>779</v>
      </c>
      <c r="T191" s="181"/>
    </row>
    <row r="192" spans="17:20" x14ac:dyDescent="0.2">
      <c r="Q192" s="15" t="s">
        <v>28</v>
      </c>
      <c r="R192" s="15" t="s">
        <v>29</v>
      </c>
    </row>
    <row r="193" spans="17:20" x14ac:dyDescent="0.2">
      <c r="Q193" s="15">
        <v>492</v>
      </c>
      <c r="R193" s="15">
        <v>-2.92</v>
      </c>
    </row>
    <row r="194" spans="17:20" x14ac:dyDescent="0.2">
      <c r="Q194" s="15" t="s">
        <v>71</v>
      </c>
      <c r="R194" s="15" t="s">
        <v>80</v>
      </c>
    </row>
    <row r="195" spans="17:20" x14ac:dyDescent="0.2">
      <c r="Q195" s="12" t="s">
        <v>67</v>
      </c>
      <c r="R195" s="32"/>
    </row>
    <row r="196" spans="17:20" x14ac:dyDescent="0.2">
      <c r="Q196"/>
      <c r="R196"/>
    </row>
    <row r="197" spans="17:20" x14ac:dyDescent="0.2">
      <c r="Q197" s="15" t="s">
        <v>16</v>
      </c>
      <c r="R197" s="15" t="s">
        <v>17</v>
      </c>
      <c r="S197" s="181" t="s">
        <v>780</v>
      </c>
      <c r="T197" s="181"/>
    </row>
    <row r="198" spans="17:20" x14ac:dyDescent="0.2">
      <c r="Q198" s="15" t="s">
        <v>28</v>
      </c>
      <c r="R198" s="15" t="s">
        <v>29</v>
      </c>
    </row>
    <row r="199" spans="17:20" x14ac:dyDescent="0.2">
      <c r="Q199" s="15" t="s">
        <v>70</v>
      </c>
      <c r="R199" s="15" t="s">
        <v>75</v>
      </c>
    </row>
    <row r="200" spans="17:20" x14ac:dyDescent="0.2">
      <c r="Q200" s="15" t="s">
        <v>71</v>
      </c>
      <c r="R200" s="15" t="s">
        <v>80</v>
      </c>
    </row>
    <row r="201" spans="17:20" x14ac:dyDescent="0.2">
      <c r="Q201" s="12" t="s">
        <v>67</v>
      </c>
      <c r="R201" s="38"/>
    </row>
    <row r="202" spans="17:20" x14ac:dyDescent="0.2">
      <c r="Q202"/>
      <c r="R202"/>
    </row>
    <row r="203" spans="17:20" x14ac:dyDescent="0.2">
      <c r="Q203" s="15" t="s">
        <v>22</v>
      </c>
      <c r="R203" s="15" t="s">
        <v>23</v>
      </c>
      <c r="S203" s="181" t="s">
        <v>781</v>
      </c>
      <c r="T203" s="181"/>
    </row>
    <row r="204" spans="17:20" x14ac:dyDescent="0.2">
      <c r="Q204" s="15" t="s">
        <v>28</v>
      </c>
      <c r="R204" s="15" t="s">
        <v>29</v>
      </c>
    </row>
    <row r="205" spans="17:20" x14ac:dyDescent="0.2">
      <c r="Q205" s="15" t="s">
        <v>5</v>
      </c>
      <c r="R205" s="15" t="s">
        <v>6</v>
      </c>
    </row>
    <row r="206" spans="17:20" x14ac:dyDescent="0.2">
      <c r="Q206" s="15">
        <v>492</v>
      </c>
      <c r="R206" s="15">
        <v>-2.92</v>
      </c>
    </row>
    <row r="207" spans="17:20" x14ac:dyDescent="0.2">
      <c r="Q207" s="12" t="s">
        <v>67</v>
      </c>
      <c r="R207" s="39"/>
    </row>
    <row r="208" spans="17:20" x14ac:dyDescent="0.2">
      <c r="Q208"/>
      <c r="R208"/>
    </row>
    <row r="209" spans="17:20" x14ac:dyDescent="0.2">
      <c r="Q209" s="15" t="s">
        <v>22</v>
      </c>
      <c r="R209" s="15" t="s">
        <v>23</v>
      </c>
      <c r="S209" s="181" t="s">
        <v>782</v>
      </c>
      <c r="T209" s="181"/>
    </row>
    <row r="210" spans="17:20" x14ac:dyDescent="0.2">
      <c r="Q210" s="15" t="s">
        <v>28</v>
      </c>
      <c r="R210" s="15" t="s">
        <v>29</v>
      </c>
    </row>
    <row r="211" spans="17:20" x14ac:dyDescent="0.2">
      <c r="Q211" s="15" t="s">
        <v>5</v>
      </c>
      <c r="R211" s="15" t="s">
        <v>6</v>
      </c>
    </row>
    <row r="212" spans="17:20" x14ac:dyDescent="0.2">
      <c r="Q212" s="15" t="s">
        <v>70</v>
      </c>
      <c r="R212" s="15" t="s">
        <v>75</v>
      </c>
    </row>
    <row r="213" spans="17:20" x14ac:dyDescent="0.2">
      <c r="Q213" s="12" t="s">
        <v>67</v>
      </c>
      <c r="R213" s="39"/>
    </row>
    <row r="214" spans="17:20" x14ac:dyDescent="0.2">
      <c r="Q214"/>
      <c r="R214"/>
    </row>
    <row r="215" spans="17:20" x14ac:dyDescent="0.2">
      <c r="Q215" s="15" t="s">
        <v>22</v>
      </c>
      <c r="R215" s="15" t="s">
        <v>23</v>
      </c>
      <c r="S215" s="181" t="s">
        <v>783</v>
      </c>
      <c r="T215" s="181"/>
    </row>
    <row r="216" spans="17:20" x14ac:dyDescent="0.2">
      <c r="Q216" s="15" t="s">
        <v>28</v>
      </c>
      <c r="R216" s="15" t="s">
        <v>29</v>
      </c>
    </row>
    <row r="217" spans="17:20" x14ac:dyDescent="0.2">
      <c r="Q217" s="15" t="s">
        <v>5</v>
      </c>
      <c r="R217" s="15" t="s">
        <v>6</v>
      </c>
    </row>
    <row r="218" spans="17:20" x14ac:dyDescent="0.2">
      <c r="Q218" s="15" t="s">
        <v>71</v>
      </c>
      <c r="R218" s="15" t="s">
        <v>80</v>
      </c>
    </row>
    <row r="219" spans="17:20" x14ac:dyDescent="0.2">
      <c r="Q219" s="12" t="s">
        <v>67</v>
      </c>
      <c r="R219" s="39"/>
    </row>
    <row r="220" spans="17:20" x14ac:dyDescent="0.2">
      <c r="Q220"/>
      <c r="R220"/>
    </row>
    <row r="221" spans="17:20" x14ac:dyDescent="0.2">
      <c r="Q221" s="15" t="s">
        <v>22</v>
      </c>
      <c r="R221" s="15" t="s">
        <v>23</v>
      </c>
      <c r="S221" s="181" t="s">
        <v>784</v>
      </c>
      <c r="T221" s="181"/>
    </row>
    <row r="222" spans="17:20" x14ac:dyDescent="0.2">
      <c r="Q222" s="15" t="s">
        <v>28</v>
      </c>
      <c r="R222" s="15" t="s">
        <v>29</v>
      </c>
    </row>
    <row r="223" spans="17:20" x14ac:dyDescent="0.2">
      <c r="Q223" s="15">
        <v>492</v>
      </c>
      <c r="R223" s="15">
        <v>-2.92</v>
      </c>
    </row>
    <row r="224" spans="17:20" x14ac:dyDescent="0.2">
      <c r="Q224" s="15" t="s">
        <v>70</v>
      </c>
      <c r="R224" s="15" t="s">
        <v>75</v>
      </c>
    </row>
    <row r="225" spans="17:20" x14ac:dyDescent="0.2">
      <c r="Q225" s="12" t="s">
        <v>67</v>
      </c>
      <c r="R225" s="40"/>
    </row>
    <row r="226" spans="17:20" x14ac:dyDescent="0.2">
      <c r="Q226"/>
      <c r="R226"/>
    </row>
    <row r="227" spans="17:20" x14ac:dyDescent="0.2">
      <c r="Q227" s="15" t="s">
        <v>22</v>
      </c>
      <c r="R227" s="15" t="s">
        <v>23</v>
      </c>
      <c r="S227" s="181" t="s">
        <v>785</v>
      </c>
      <c r="T227" s="181"/>
    </row>
    <row r="228" spans="17:20" x14ac:dyDescent="0.2">
      <c r="Q228" s="15" t="s">
        <v>28</v>
      </c>
      <c r="R228" s="15" t="s">
        <v>29</v>
      </c>
    </row>
    <row r="229" spans="17:20" x14ac:dyDescent="0.2">
      <c r="Q229" s="15">
        <v>492</v>
      </c>
      <c r="R229" s="15">
        <v>-2.92</v>
      </c>
    </row>
    <row r="230" spans="17:20" x14ac:dyDescent="0.2">
      <c r="Q230" s="15" t="s">
        <v>71</v>
      </c>
      <c r="R230" s="15" t="s">
        <v>80</v>
      </c>
    </row>
    <row r="231" spans="17:20" x14ac:dyDescent="0.2">
      <c r="Q231" s="12" t="s">
        <v>67</v>
      </c>
      <c r="R231" s="40"/>
    </row>
    <row r="232" spans="17:20" x14ac:dyDescent="0.2">
      <c r="Q232"/>
      <c r="R232"/>
    </row>
    <row r="233" spans="17:20" x14ac:dyDescent="0.2">
      <c r="Q233" s="15" t="s">
        <v>22</v>
      </c>
      <c r="R233" s="15" t="s">
        <v>23</v>
      </c>
      <c r="S233" s="181" t="s">
        <v>786</v>
      </c>
      <c r="T233" s="181"/>
    </row>
    <row r="234" spans="17:20" x14ac:dyDescent="0.2">
      <c r="Q234" s="15" t="s">
        <v>28</v>
      </c>
      <c r="R234" s="15" t="s">
        <v>29</v>
      </c>
    </row>
    <row r="235" spans="17:20" x14ac:dyDescent="0.2">
      <c r="Q235" s="15" t="s">
        <v>70</v>
      </c>
      <c r="R235" s="15" t="s">
        <v>75</v>
      </c>
    </row>
    <row r="236" spans="17:20" x14ac:dyDescent="0.2">
      <c r="Q236" s="15" t="s">
        <v>71</v>
      </c>
      <c r="R236" s="15" t="s">
        <v>80</v>
      </c>
    </row>
    <row r="237" spans="17:20" x14ac:dyDescent="0.2">
      <c r="Q237" s="12" t="s">
        <v>67</v>
      </c>
      <c r="R237" s="40"/>
    </row>
  </sheetData>
  <mergeCells count="76">
    <mergeCell ref="M13:M15"/>
    <mergeCell ref="Q7:S7"/>
    <mergeCell ref="Q8:S8"/>
    <mergeCell ref="K50:L50"/>
    <mergeCell ref="K22:L22"/>
    <mergeCell ref="K29:L29"/>
    <mergeCell ref="K36:L36"/>
    <mergeCell ref="K43:L43"/>
    <mergeCell ref="K16:L16"/>
    <mergeCell ref="Q19:Q21"/>
    <mergeCell ref="Q10:Q12"/>
    <mergeCell ref="Q13:Q15"/>
    <mergeCell ref="Q16:Q18"/>
    <mergeCell ref="O30:P30"/>
    <mergeCell ref="U7:W7"/>
    <mergeCell ref="Y7:AA7"/>
    <mergeCell ref="U8:W8"/>
    <mergeCell ref="U10:U12"/>
    <mergeCell ref="Y8:AA8"/>
    <mergeCell ref="Y10:Y12"/>
    <mergeCell ref="A7:C7"/>
    <mergeCell ref="M8:O8"/>
    <mergeCell ref="I8:K8"/>
    <mergeCell ref="I10:I12"/>
    <mergeCell ref="E7:G7"/>
    <mergeCell ref="I7:K7"/>
    <mergeCell ref="M7:O7"/>
    <mergeCell ref="M10:M12"/>
    <mergeCell ref="A23:A25"/>
    <mergeCell ref="E8:G8"/>
    <mergeCell ref="E10:E12"/>
    <mergeCell ref="A10:A12"/>
    <mergeCell ref="A14:A16"/>
    <mergeCell ref="A17:A19"/>
    <mergeCell ref="A20:A22"/>
    <mergeCell ref="O84:P84"/>
    <mergeCell ref="O66:P66"/>
    <mergeCell ref="S23:T23"/>
    <mergeCell ref="S29:T29"/>
    <mergeCell ref="S35:T35"/>
    <mergeCell ref="S41:T41"/>
    <mergeCell ref="S47:T47"/>
    <mergeCell ref="S53:T53"/>
    <mergeCell ref="S59:T59"/>
    <mergeCell ref="S89:T89"/>
    <mergeCell ref="S107:T107"/>
    <mergeCell ref="S101:T101"/>
    <mergeCell ref="S113:T113"/>
    <mergeCell ref="S65:T65"/>
    <mergeCell ref="S71:T71"/>
    <mergeCell ref="S77:T77"/>
    <mergeCell ref="S83:T83"/>
    <mergeCell ref="S155:T155"/>
    <mergeCell ref="S161:T161"/>
    <mergeCell ref="S167:T167"/>
    <mergeCell ref="S173:T173"/>
    <mergeCell ref="S119:T119"/>
    <mergeCell ref="S125:T125"/>
    <mergeCell ref="S143:T143"/>
    <mergeCell ref="S149:T149"/>
    <mergeCell ref="S227:T227"/>
    <mergeCell ref="S233:T233"/>
    <mergeCell ref="AA15:AB15"/>
    <mergeCell ref="AA21:AB21"/>
    <mergeCell ref="AA27:AB27"/>
    <mergeCell ref="AA33:AB33"/>
    <mergeCell ref="AA39:AB39"/>
    <mergeCell ref="AA45:AB45"/>
    <mergeCell ref="S203:T203"/>
    <mergeCell ref="S209:T209"/>
    <mergeCell ref="S215:T215"/>
    <mergeCell ref="S221:T221"/>
    <mergeCell ref="S179:T179"/>
    <mergeCell ref="S185:T185"/>
    <mergeCell ref="S191:T191"/>
    <mergeCell ref="S197:T197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4"/>
  <sheetViews>
    <sheetView workbookViewId="0">
      <selection activeCell="J40" sqref="J40"/>
    </sheetView>
  </sheetViews>
  <sheetFormatPr defaultRowHeight="12.75" x14ac:dyDescent="0.2"/>
  <cols>
    <col min="1" max="1" width="10.5703125" customWidth="1"/>
    <col min="10" max="10" width="10.28515625" style="3" customWidth="1"/>
    <col min="11" max="13" width="9.140625" style="1"/>
    <col min="14" max="14" width="10.28515625" style="1" customWidth="1"/>
    <col min="15" max="16" width="9.140625" style="1"/>
    <col min="17" max="17" width="9.140625" style="2"/>
    <col min="18" max="21" width="9.140625" style="14"/>
    <col min="22" max="22" width="10.140625" style="31" customWidth="1"/>
    <col min="23" max="24" width="9.140625" style="2"/>
    <col min="28" max="28" width="10.5703125" customWidth="1"/>
    <col min="30" max="30" width="9.140625" style="14"/>
    <col min="32" max="32" width="11.140625" customWidth="1"/>
  </cols>
  <sheetData>
    <row r="1" spans="1:30" x14ac:dyDescent="0.2">
      <c r="A1" s="1"/>
      <c r="B1" s="1"/>
      <c r="C1" s="2"/>
      <c r="D1" s="14"/>
      <c r="E1" s="14"/>
      <c r="F1" s="14"/>
      <c r="G1" s="14"/>
      <c r="H1" s="31"/>
      <c r="I1" s="2"/>
      <c r="J1" s="2"/>
      <c r="K1"/>
      <c r="L1"/>
      <c r="M1"/>
      <c r="N1"/>
      <c r="O1"/>
      <c r="P1" s="14"/>
      <c r="Q1"/>
      <c r="R1"/>
      <c r="S1"/>
      <c r="T1"/>
      <c r="U1"/>
      <c r="V1"/>
      <c r="W1"/>
      <c r="X1"/>
      <c r="AD1"/>
    </row>
    <row r="2" spans="1:30" x14ac:dyDescent="0.2">
      <c r="A2" s="1"/>
      <c r="B2" s="1"/>
      <c r="C2" s="2"/>
      <c r="D2" s="14"/>
      <c r="E2" s="14"/>
      <c r="F2" s="14"/>
      <c r="G2" s="14"/>
      <c r="H2" s="31"/>
      <c r="I2" s="2"/>
      <c r="J2" s="2"/>
      <c r="K2"/>
      <c r="L2"/>
      <c r="M2"/>
      <c r="N2"/>
      <c r="O2"/>
      <c r="P2" s="14"/>
      <c r="Q2"/>
      <c r="R2"/>
      <c r="S2"/>
      <c r="T2"/>
      <c r="U2"/>
      <c r="V2"/>
      <c r="W2"/>
      <c r="X2"/>
      <c r="AD2"/>
    </row>
    <row r="3" spans="1:30" x14ac:dyDescent="0.2">
      <c r="A3" s="1"/>
      <c r="B3" s="1"/>
      <c r="C3" s="2"/>
      <c r="D3" s="14"/>
      <c r="E3" s="14"/>
      <c r="F3" s="14"/>
      <c r="G3" s="14"/>
      <c r="H3" s="31"/>
      <c r="J3"/>
      <c r="K3"/>
      <c r="L3"/>
      <c r="M3"/>
      <c r="N3" s="14"/>
      <c r="O3"/>
      <c r="P3"/>
      <c r="Q3"/>
      <c r="R3"/>
      <c r="S3"/>
      <c r="T3"/>
      <c r="U3"/>
      <c r="V3"/>
      <c r="W3"/>
      <c r="X3"/>
      <c r="AD3"/>
    </row>
    <row r="4" spans="1:30" x14ac:dyDescent="0.2">
      <c r="A4" s="1"/>
      <c r="B4" s="1"/>
      <c r="C4" s="2"/>
      <c r="D4" s="14"/>
      <c r="E4" s="14"/>
      <c r="F4" s="14"/>
      <c r="G4" s="14"/>
      <c r="H4" s="31"/>
      <c r="J4"/>
      <c r="K4"/>
      <c r="L4"/>
      <c r="M4"/>
      <c r="N4" s="14"/>
      <c r="O4"/>
      <c r="P4"/>
      <c r="Q4"/>
      <c r="R4"/>
      <c r="S4"/>
      <c r="T4"/>
      <c r="U4"/>
      <c r="V4"/>
      <c r="W4"/>
      <c r="X4"/>
      <c r="AD4"/>
    </row>
    <row r="5" spans="1:30" x14ac:dyDescent="0.2">
      <c r="A5" s="1"/>
      <c r="B5" s="1"/>
      <c r="C5" s="2"/>
      <c r="D5" s="14"/>
      <c r="E5" s="14"/>
      <c r="F5" s="14"/>
      <c r="G5" s="14"/>
      <c r="H5" s="31"/>
      <c r="J5"/>
      <c r="K5"/>
      <c r="L5"/>
      <c r="M5"/>
      <c r="N5" s="14"/>
      <c r="O5"/>
      <c r="P5"/>
      <c r="Q5"/>
      <c r="R5"/>
      <c r="S5"/>
      <c r="T5"/>
      <c r="U5"/>
      <c r="V5"/>
      <c r="W5"/>
      <c r="X5"/>
      <c r="AD5"/>
    </row>
    <row r="6" spans="1:30" x14ac:dyDescent="0.2">
      <c r="A6" s="1"/>
      <c r="B6" s="1"/>
      <c r="C6" s="2"/>
      <c r="D6" s="14"/>
      <c r="E6" s="14"/>
      <c r="F6" s="14"/>
      <c r="G6" s="14"/>
      <c r="H6" s="31"/>
      <c r="J6"/>
      <c r="K6"/>
      <c r="L6"/>
      <c r="M6"/>
      <c r="N6" s="14"/>
      <c r="O6"/>
      <c r="P6"/>
      <c r="Q6"/>
      <c r="R6"/>
      <c r="S6"/>
      <c r="T6"/>
      <c r="U6"/>
      <c r="V6"/>
      <c r="W6"/>
      <c r="X6"/>
      <c r="AD6"/>
    </row>
    <row r="7" spans="1:30" x14ac:dyDescent="0.2">
      <c r="A7" s="1"/>
      <c r="B7" s="1"/>
      <c r="C7" s="2"/>
      <c r="D7" s="14"/>
      <c r="E7" s="14"/>
      <c r="F7" s="14"/>
      <c r="G7" s="14"/>
      <c r="H7" s="31"/>
      <c r="J7"/>
      <c r="K7"/>
      <c r="L7"/>
      <c r="M7"/>
      <c r="N7" s="14"/>
      <c r="O7"/>
      <c r="P7"/>
      <c r="Q7"/>
      <c r="R7"/>
      <c r="S7"/>
      <c r="T7"/>
      <c r="U7"/>
      <c r="V7"/>
      <c r="W7"/>
      <c r="X7"/>
      <c r="AD7"/>
    </row>
    <row r="8" spans="1:30" x14ac:dyDescent="0.2">
      <c r="E8" s="3"/>
      <c r="F8" s="1"/>
      <c r="G8" s="1"/>
      <c r="H8" s="1"/>
      <c r="I8" s="1"/>
      <c r="J8" s="1"/>
      <c r="L8" s="2"/>
      <c r="M8" s="14"/>
      <c r="N8" s="14"/>
      <c r="O8" s="14"/>
      <c r="P8" s="14"/>
      <c r="Q8" s="31"/>
      <c r="R8"/>
      <c r="S8"/>
      <c r="T8"/>
      <c r="U8"/>
      <c r="V8"/>
      <c r="W8" s="14"/>
      <c r="X8"/>
      <c r="AD8"/>
    </row>
    <row r="9" spans="1:30" x14ac:dyDescent="0.2">
      <c r="E9" s="3"/>
      <c r="F9" s="1"/>
      <c r="G9" s="1"/>
      <c r="H9" s="1"/>
      <c r="I9" s="1"/>
      <c r="J9" s="1"/>
      <c r="L9" s="2"/>
      <c r="M9" s="14"/>
      <c r="N9" s="14"/>
      <c r="O9" s="14"/>
      <c r="P9" s="14"/>
      <c r="Q9" s="31"/>
      <c r="R9"/>
      <c r="S9"/>
      <c r="T9"/>
      <c r="U9"/>
      <c r="V9"/>
      <c r="W9" s="14"/>
      <c r="X9"/>
      <c r="AD9"/>
    </row>
    <row r="10" spans="1:30" x14ac:dyDescent="0.2">
      <c r="A10" s="9"/>
      <c r="B10" s="10">
        <v>7.6523000000000003</v>
      </c>
      <c r="C10" s="10">
        <v>14.117699999999999</v>
      </c>
      <c r="D10" s="10">
        <f>40/1.75</f>
        <v>22.857142857142858</v>
      </c>
      <c r="E10" s="11">
        <v>30.665500000000002</v>
      </c>
      <c r="F10" s="12">
        <v>40</v>
      </c>
      <c r="G10" s="12">
        <v>50.43</v>
      </c>
      <c r="H10" s="12">
        <v>58.15</v>
      </c>
      <c r="I10" s="12">
        <v>67.290000000000006</v>
      </c>
      <c r="J10" s="1"/>
      <c r="L10" s="2"/>
      <c r="M10" s="14"/>
      <c r="N10" s="14"/>
      <c r="O10" s="14"/>
      <c r="P10" s="14"/>
      <c r="Q10" s="31"/>
      <c r="R10"/>
      <c r="S10"/>
      <c r="T10"/>
      <c r="U10"/>
      <c r="V10"/>
      <c r="W10" s="14"/>
      <c r="X10"/>
      <c r="AD10"/>
    </row>
    <row r="11" spans="1:30" x14ac:dyDescent="0.2">
      <c r="A11" s="19" t="s">
        <v>0</v>
      </c>
      <c r="B11" s="33">
        <f>50.43/B10</f>
        <v>6.5901755027900109</v>
      </c>
      <c r="C11" s="33">
        <f t="shared" ref="C11:I11" si="0">50.43/C10</f>
        <v>3.5721116045814831</v>
      </c>
      <c r="D11" s="33">
        <f t="shared" si="0"/>
        <v>2.2063125000000001</v>
      </c>
      <c r="E11" s="33">
        <f t="shared" si="0"/>
        <v>1.6445190849651887</v>
      </c>
      <c r="F11" s="33">
        <f t="shared" si="0"/>
        <v>1.26075</v>
      </c>
      <c r="G11" s="33">
        <f t="shared" si="0"/>
        <v>1</v>
      </c>
      <c r="H11" s="33">
        <f t="shared" si="0"/>
        <v>0.86723989681857272</v>
      </c>
      <c r="I11" s="33">
        <f t="shared" si="0"/>
        <v>0.74944271065537216</v>
      </c>
      <c r="J11" s="1" t="s">
        <v>540</v>
      </c>
      <c r="K11" s="12">
        <f>B11/I11</f>
        <v>8.7934346536335486</v>
      </c>
      <c r="L11" s="2"/>
      <c r="M11" s="14"/>
      <c r="N11" s="14"/>
      <c r="O11" s="14"/>
      <c r="P11" s="14"/>
      <c r="Q11" s="31"/>
      <c r="R11"/>
      <c r="S11"/>
      <c r="T11"/>
      <c r="U11"/>
      <c r="V11"/>
      <c r="W11" s="14"/>
      <c r="X11"/>
      <c r="AD11"/>
    </row>
    <row r="12" spans="1:30" x14ac:dyDescent="0.2">
      <c r="A12" s="19" t="s">
        <v>1</v>
      </c>
      <c r="B12" s="33"/>
      <c r="C12" s="33">
        <f t="shared" ref="C12:H12" si="1">B11/C11</f>
        <v>1.844896305685872</v>
      </c>
      <c r="D12" s="33">
        <f t="shared" si="1"/>
        <v>1.6190415476418154</v>
      </c>
      <c r="E12" s="35">
        <f>D11/E11</f>
        <v>1.3416156250000002</v>
      </c>
      <c r="F12" s="36">
        <f t="shared" si="1"/>
        <v>1.3043974499029853</v>
      </c>
      <c r="G12" s="36">
        <f t="shared" si="1"/>
        <v>1.26075</v>
      </c>
      <c r="H12" s="36">
        <f t="shared" si="1"/>
        <v>1.1530834820543328</v>
      </c>
      <c r="I12" s="36">
        <f>H11/I11</f>
        <v>1.1571797076526227</v>
      </c>
      <c r="J12" s="1"/>
      <c r="L12" s="2"/>
      <c r="M12" s="14"/>
      <c r="N12" s="14"/>
      <c r="O12" s="14"/>
      <c r="P12" s="14"/>
      <c r="Q12" s="31"/>
      <c r="R12" s="44"/>
      <c r="S12" s="44"/>
      <c r="T12"/>
      <c r="U12"/>
      <c r="V12"/>
      <c r="W12" s="14"/>
      <c r="X12"/>
      <c r="AD12"/>
    </row>
    <row r="13" spans="1:30" x14ac:dyDescent="0.2">
      <c r="A13" s="9"/>
      <c r="B13" s="9">
        <f t="shared" ref="B13:I13" si="2">100/B11</f>
        <v>15.174102716636922</v>
      </c>
      <c r="C13" s="9">
        <f t="shared" si="2"/>
        <v>27.994646044021412</v>
      </c>
      <c r="D13" s="9">
        <f t="shared" si="2"/>
        <v>45.324495056797254</v>
      </c>
      <c r="E13" s="13">
        <f t="shared" si="2"/>
        <v>60.808050763434473</v>
      </c>
      <c r="F13" s="7">
        <f t="shared" si="2"/>
        <v>79.317866349395203</v>
      </c>
      <c r="G13" s="7">
        <f t="shared" si="2"/>
        <v>100</v>
      </c>
      <c r="H13" s="7">
        <f t="shared" si="2"/>
        <v>115.30834820543326</v>
      </c>
      <c r="I13" s="7">
        <f t="shared" si="2"/>
        <v>133.4324806662701</v>
      </c>
      <c r="J13" s="1"/>
      <c r="L13" s="2"/>
      <c r="M13" s="14"/>
      <c r="N13" s="14"/>
      <c r="O13" s="14"/>
      <c r="P13" s="14"/>
      <c r="Q13" s="31"/>
      <c r="R13" s="2"/>
      <c r="S13" s="2"/>
      <c r="T13" s="44"/>
      <c r="U13" s="44"/>
      <c r="V13"/>
      <c r="W13"/>
      <c r="X13"/>
      <c r="Y13" s="14"/>
      <c r="AD13"/>
    </row>
    <row r="14" spans="1:30" x14ac:dyDescent="0.2">
      <c r="B14">
        <f>1/B11</f>
        <v>0.15174102716636922</v>
      </c>
      <c r="C14">
        <f t="shared" ref="C14:I14" si="3">1/C11</f>
        <v>0.27994646044021415</v>
      </c>
      <c r="D14">
        <f t="shared" si="3"/>
        <v>0.45324495056797254</v>
      </c>
      <c r="E14">
        <f t="shared" si="3"/>
        <v>0.60808050763434474</v>
      </c>
      <c r="F14">
        <f t="shared" si="3"/>
        <v>0.79317866349395194</v>
      </c>
      <c r="G14">
        <f t="shared" si="3"/>
        <v>1</v>
      </c>
      <c r="H14">
        <f t="shared" si="3"/>
        <v>1.1530834820543328</v>
      </c>
      <c r="I14">
        <f t="shared" si="3"/>
        <v>1.3343248066627009</v>
      </c>
      <c r="Y14" s="44"/>
      <c r="Z14" s="44"/>
    </row>
    <row r="15" spans="1:30" x14ac:dyDescent="0.2">
      <c r="A15" s="188" t="s">
        <v>60</v>
      </c>
      <c r="B15" s="188"/>
      <c r="C15" s="188"/>
      <c r="D15" s="27"/>
      <c r="E15" s="39"/>
      <c r="F15" s="191" t="s">
        <v>97</v>
      </c>
      <c r="G15" s="192"/>
      <c r="H15" s="192"/>
      <c r="I15" s="39"/>
      <c r="J15" s="189" t="s">
        <v>98</v>
      </c>
      <c r="K15" s="189"/>
      <c r="L15" s="189"/>
      <c r="N15" s="189" t="s">
        <v>99</v>
      </c>
      <c r="O15" s="189"/>
      <c r="P15" s="189"/>
      <c r="R15" s="191" t="s">
        <v>100</v>
      </c>
      <c r="S15" s="192"/>
      <c r="T15" s="193"/>
      <c r="V15" s="189" t="s">
        <v>101</v>
      </c>
      <c r="W15" s="189"/>
      <c r="X15" s="189"/>
      <c r="Y15" s="80"/>
      <c r="Z15" s="189" t="s">
        <v>102</v>
      </c>
      <c r="AA15" s="189"/>
      <c r="AB15" s="189"/>
    </row>
    <row r="16" spans="1:30" x14ac:dyDescent="0.2">
      <c r="D16" s="27"/>
      <c r="E16" s="39"/>
      <c r="F16" s="194" t="s">
        <v>68</v>
      </c>
      <c r="G16" s="195"/>
      <c r="H16" s="195"/>
      <c r="I16" s="39"/>
      <c r="J16" s="185" t="s">
        <v>34</v>
      </c>
      <c r="K16" s="185"/>
      <c r="L16" s="185"/>
      <c r="N16" s="185" t="s">
        <v>53</v>
      </c>
      <c r="O16" s="185"/>
      <c r="P16" s="185"/>
      <c r="R16" s="199" t="s">
        <v>85</v>
      </c>
      <c r="S16" s="200"/>
      <c r="T16" s="201"/>
      <c r="V16" s="190" t="s">
        <v>425</v>
      </c>
      <c r="W16" s="190"/>
      <c r="X16" s="190"/>
      <c r="Y16" s="80"/>
      <c r="Z16" s="190" t="s">
        <v>426</v>
      </c>
      <c r="AA16" s="190"/>
      <c r="AB16" s="190"/>
    </row>
    <row r="17" spans="1:33" x14ac:dyDescent="0.2">
      <c r="A17" s="7" t="s">
        <v>2</v>
      </c>
      <c r="B17" s="8" t="s">
        <v>3</v>
      </c>
      <c r="C17" s="20" t="s">
        <v>0</v>
      </c>
      <c r="D17" s="27"/>
      <c r="E17" s="39"/>
      <c r="F17" s="41" t="s">
        <v>2</v>
      </c>
      <c r="G17" s="41" t="s">
        <v>3</v>
      </c>
      <c r="H17" s="42" t="s">
        <v>0</v>
      </c>
      <c r="I17" s="39"/>
      <c r="J17" s="7" t="s">
        <v>2</v>
      </c>
      <c r="K17" s="7" t="s">
        <v>3</v>
      </c>
      <c r="L17" s="21" t="s">
        <v>0</v>
      </c>
      <c r="M17" s="24"/>
      <c r="N17" s="22" t="s">
        <v>2</v>
      </c>
      <c r="O17" s="22"/>
      <c r="P17" s="23"/>
      <c r="R17" s="22" t="s">
        <v>2</v>
      </c>
      <c r="S17" s="22" t="s">
        <v>3</v>
      </c>
      <c r="T17" s="23" t="s">
        <v>0</v>
      </c>
      <c r="V17" s="22" t="s">
        <v>2</v>
      </c>
      <c r="W17" s="22" t="s">
        <v>3</v>
      </c>
      <c r="X17" s="23" t="s">
        <v>0</v>
      </c>
      <c r="Z17" s="22" t="s">
        <v>2</v>
      </c>
      <c r="AA17" s="22" t="s">
        <v>3</v>
      </c>
      <c r="AB17" s="23" t="s">
        <v>0</v>
      </c>
    </row>
    <row r="18" spans="1:33" x14ac:dyDescent="0.2">
      <c r="A18" s="187" t="s">
        <v>4</v>
      </c>
      <c r="B18" s="18" t="s">
        <v>417</v>
      </c>
      <c r="C18" s="18" t="s">
        <v>418</v>
      </c>
      <c r="D18" s="28"/>
      <c r="E18" s="44"/>
      <c r="F18" s="187" t="s">
        <v>4</v>
      </c>
      <c r="G18" s="18" t="s">
        <v>417</v>
      </c>
      <c r="H18" s="18" t="s">
        <v>418</v>
      </c>
      <c r="I18" s="44"/>
      <c r="J18" s="186" t="s">
        <v>35</v>
      </c>
      <c r="K18" s="26" t="s">
        <v>35</v>
      </c>
      <c r="L18" s="26" t="s">
        <v>432</v>
      </c>
      <c r="N18" s="187" t="s">
        <v>54</v>
      </c>
      <c r="O18" s="29" t="s">
        <v>433</v>
      </c>
      <c r="P18" s="29" t="s">
        <v>434</v>
      </c>
      <c r="R18" s="187" t="s">
        <v>35</v>
      </c>
      <c r="S18" s="26" t="s">
        <v>39</v>
      </c>
      <c r="T18" s="26" t="s">
        <v>435</v>
      </c>
      <c r="V18" s="187" t="s">
        <v>35</v>
      </c>
      <c r="W18" s="29" t="s">
        <v>39</v>
      </c>
      <c r="X18" s="29" t="s">
        <v>436</v>
      </c>
      <c r="Z18" s="187" t="s">
        <v>54</v>
      </c>
      <c r="AA18" s="29" t="s">
        <v>54</v>
      </c>
      <c r="AB18" s="29" t="s">
        <v>438</v>
      </c>
    </row>
    <row r="19" spans="1:33" x14ac:dyDescent="0.2">
      <c r="A19" s="187"/>
      <c r="B19" s="5" t="s">
        <v>4</v>
      </c>
      <c r="C19" s="5" t="s">
        <v>419</v>
      </c>
      <c r="D19" s="28"/>
      <c r="E19" s="44"/>
      <c r="F19" s="187"/>
      <c r="G19" s="5"/>
      <c r="H19" s="5"/>
      <c r="I19" s="44"/>
      <c r="J19" s="186"/>
      <c r="K19" s="4"/>
      <c r="L19" s="4"/>
      <c r="N19" s="187"/>
      <c r="O19" s="4"/>
      <c r="P19" s="4"/>
      <c r="R19" s="187"/>
      <c r="S19" s="4"/>
      <c r="T19" s="4"/>
      <c r="V19" s="187"/>
      <c r="W19" s="4"/>
      <c r="X19" s="4"/>
      <c r="Z19" s="187"/>
      <c r="AA19" s="4"/>
      <c r="AB19" s="4"/>
    </row>
    <row r="20" spans="1:33" ht="13.5" thickBot="1" x14ac:dyDescent="0.25">
      <c r="A20" s="187"/>
      <c r="B20" s="5" t="s">
        <v>7</v>
      </c>
      <c r="C20" s="5" t="s">
        <v>420</v>
      </c>
      <c r="D20" s="28"/>
      <c r="E20" s="44"/>
      <c r="F20" s="187"/>
      <c r="G20" s="5"/>
      <c r="H20" s="5"/>
      <c r="I20" s="44"/>
      <c r="J20" s="186"/>
      <c r="K20" s="4"/>
      <c r="L20" s="4"/>
      <c r="N20" s="202"/>
      <c r="O20" s="82"/>
      <c r="P20" s="82"/>
      <c r="R20" s="187"/>
      <c r="S20" s="4"/>
      <c r="T20" s="4"/>
      <c r="V20" s="187"/>
      <c r="W20" s="4"/>
      <c r="X20" s="4"/>
      <c r="Z20" s="187"/>
      <c r="AA20" s="4"/>
      <c r="AB20" s="4"/>
    </row>
    <row r="21" spans="1:33" x14ac:dyDescent="0.2">
      <c r="A21" s="6" t="s">
        <v>41</v>
      </c>
      <c r="B21" s="5" t="s">
        <v>700</v>
      </c>
      <c r="C21" s="5"/>
      <c r="D21" s="28"/>
      <c r="E21" s="44"/>
      <c r="F21" s="187" t="s">
        <v>69</v>
      </c>
      <c r="G21" s="18" t="s">
        <v>427</v>
      </c>
      <c r="H21" s="18" t="s">
        <v>656</v>
      </c>
      <c r="I21" s="44"/>
      <c r="J21" s="6" t="s">
        <v>41</v>
      </c>
      <c r="K21" s="4"/>
      <c r="L21" s="4"/>
      <c r="N21" s="45"/>
      <c r="O21" s="45"/>
      <c r="P21" s="45"/>
      <c r="R21" s="6" t="s">
        <v>41</v>
      </c>
      <c r="S21" s="4" t="s">
        <v>86</v>
      </c>
      <c r="T21" s="4"/>
      <c r="V21" s="6" t="s">
        <v>41</v>
      </c>
      <c r="W21" s="4" t="s">
        <v>437</v>
      </c>
      <c r="X21" s="4"/>
      <c r="Z21" s="6" t="s">
        <v>41</v>
      </c>
      <c r="AA21" s="4" t="s">
        <v>437</v>
      </c>
      <c r="AB21" s="4"/>
    </row>
    <row r="22" spans="1:33" x14ac:dyDescent="0.2">
      <c r="A22" s="184" t="s">
        <v>10</v>
      </c>
      <c r="B22" s="18" t="s">
        <v>421</v>
      </c>
      <c r="C22" s="18" t="s">
        <v>702</v>
      </c>
      <c r="D22" s="27"/>
      <c r="E22" s="39"/>
      <c r="F22" s="187"/>
      <c r="G22" s="5"/>
      <c r="H22" s="5"/>
      <c r="I22" s="39"/>
      <c r="N22" s="15" t="s">
        <v>417</v>
      </c>
      <c r="O22" s="15" t="s">
        <v>418</v>
      </c>
      <c r="P22" s="45"/>
      <c r="V22" s="46"/>
      <c r="W22" s="46"/>
    </row>
    <row r="23" spans="1:33" x14ac:dyDescent="0.2">
      <c r="A23" s="184"/>
      <c r="B23" s="8"/>
      <c r="C23" s="8"/>
      <c r="D23" s="27"/>
      <c r="E23" s="39"/>
      <c r="F23" s="187"/>
      <c r="G23" s="5"/>
      <c r="H23" s="5"/>
      <c r="I23" s="39"/>
      <c r="J23" s="46"/>
      <c r="K23" s="46"/>
      <c r="L23" s="77"/>
      <c r="N23" s="12" t="s">
        <v>433</v>
      </c>
      <c r="O23" s="12" t="s">
        <v>434</v>
      </c>
      <c r="P23" s="197" t="s">
        <v>444</v>
      </c>
      <c r="Q23" s="198"/>
      <c r="R23" s="98" t="s">
        <v>39</v>
      </c>
      <c r="S23" s="98" t="s">
        <v>435</v>
      </c>
      <c r="T23" s="97"/>
      <c r="U23" s="59"/>
      <c r="V23" s="25" t="s">
        <v>417</v>
      </c>
      <c r="W23" s="25" t="s">
        <v>418</v>
      </c>
      <c r="Z23" s="25" t="s">
        <v>417</v>
      </c>
      <c r="AA23" s="25" t="s">
        <v>418</v>
      </c>
      <c r="AF23" s="46"/>
      <c r="AG23" s="46"/>
    </row>
    <row r="24" spans="1:33" x14ac:dyDescent="0.2">
      <c r="A24" s="184"/>
      <c r="B24" s="8"/>
      <c r="C24" s="8"/>
      <c r="D24" s="27"/>
      <c r="E24" s="39"/>
      <c r="F24" s="187" t="s">
        <v>70</v>
      </c>
      <c r="G24" s="18" t="s">
        <v>70</v>
      </c>
      <c r="H24" s="18" t="s">
        <v>429</v>
      </c>
      <c r="I24" s="39"/>
      <c r="J24" s="46"/>
      <c r="K24" s="46"/>
      <c r="L24" s="77"/>
      <c r="N24" s="15" t="s">
        <v>18</v>
      </c>
      <c r="O24" s="15" t="s">
        <v>422</v>
      </c>
      <c r="P24" s="45"/>
      <c r="R24" s="99" t="s">
        <v>417</v>
      </c>
      <c r="S24" s="99" t="s">
        <v>418</v>
      </c>
      <c r="V24" s="26" t="s">
        <v>39</v>
      </c>
      <c r="W24" s="26" t="s">
        <v>436</v>
      </c>
      <c r="Z24" s="26" t="s">
        <v>54</v>
      </c>
      <c r="AA24" s="26" t="s">
        <v>438</v>
      </c>
      <c r="AF24" s="46"/>
      <c r="AG24" s="46"/>
    </row>
    <row r="25" spans="1:33" x14ac:dyDescent="0.2">
      <c r="A25" s="184" t="s">
        <v>15</v>
      </c>
      <c r="B25" s="18" t="s">
        <v>18</v>
      </c>
      <c r="C25" s="18" t="s">
        <v>422</v>
      </c>
      <c r="D25" s="27"/>
      <c r="E25" s="39"/>
      <c r="F25" s="187"/>
      <c r="G25" s="5"/>
      <c r="H25" s="5"/>
      <c r="I25" s="39"/>
      <c r="J25" s="46"/>
      <c r="K25" s="46"/>
      <c r="L25" s="77"/>
      <c r="N25" s="15" t="s">
        <v>423</v>
      </c>
      <c r="O25" s="15" t="s">
        <v>23</v>
      </c>
      <c r="R25" s="99" t="s">
        <v>421</v>
      </c>
      <c r="S25" s="99" t="s">
        <v>702</v>
      </c>
      <c r="V25" s="25" t="s">
        <v>18</v>
      </c>
      <c r="W25" s="25" t="s">
        <v>422</v>
      </c>
      <c r="Z25" s="25" t="s">
        <v>18</v>
      </c>
      <c r="AA25" s="25" t="s">
        <v>422</v>
      </c>
      <c r="AF25" s="46"/>
      <c r="AG25" s="46"/>
    </row>
    <row r="26" spans="1:33" x14ac:dyDescent="0.2">
      <c r="A26" s="184"/>
      <c r="B26" s="8"/>
      <c r="C26" s="8"/>
      <c r="D26" s="27"/>
      <c r="E26" s="39"/>
      <c r="F26" s="187"/>
      <c r="G26" s="5"/>
      <c r="H26" s="5"/>
      <c r="I26" s="39"/>
      <c r="J26" s="45"/>
      <c r="K26" s="45"/>
      <c r="L26" s="77"/>
      <c r="N26" s="11" t="s">
        <v>41</v>
      </c>
      <c r="O26" s="12" t="s">
        <v>67</v>
      </c>
      <c r="R26" s="99" t="s">
        <v>18</v>
      </c>
      <c r="S26" s="99" t="s">
        <v>422</v>
      </c>
      <c r="V26" s="25" t="s">
        <v>423</v>
      </c>
      <c r="W26" s="25" t="s">
        <v>23</v>
      </c>
      <c r="Z26" s="25" t="s">
        <v>423</v>
      </c>
      <c r="AA26" s="25" t="s">
        <v>23</v>
      </c>
      <c r="AF26" s="45"/>
      <c r="AG26" s="45"/>
    </row>
    <row r="27" spans="1:33" x14ac:dyDescent="0.2">
      <c r="A27" s="184"/>
      <c r="B27" s="8"/>
      <c r="C27" s="8"/>
      <c r="D27" s="27"/>
      <c r="E27" s="39"/>
      <c r="F27" s="187" t="s">
        <v>72</v>
      </c>
      <c r="G27" s="18" t="s">
        <v>71</v>
      </c>
      <c r="H27" s="18" t="s">
        <v>430</v>
      </c>
      <c r="I27" s="39"/>
      <c r="J27" s="45"/>
      <c r="K27" s="45"/>
      <c r="L27" s="77"/>
      <c r="N27" s="11" t="s">
        <v>41</v>
      </c>
      <c r="O27" s="12" t="s">
        <v>700</v>
      </c>
      <c r="R27" s="100" t="s">
        <v>41</v>
      </c>
      <c r="S27" s="98" t="s">
        <v>86</v>
      </c>
      <c r="V27" s="83" t="s">
        <v>41</v>
      </c>
      <c r="W27" s="26" t="s">
        <v>437</v>
      </c>
      <c r="Z27" s="83" t="s">
        <v>41</v>
      </c>
      <c r="AA27" s="26" t="s">
        <v>437</v>
      </c>
      <c r="AF27" s="45"/>
      <c r="AG27" s="45"/>
    </row>
    <row r="28" spans="1:33" x14ac:dyDescent="0.2">
      <c r="A28" s="184" t="s">
        <v>22</v>
      </c>
      <c r="B28" s="18" t="s">
        <v>423</v>
      </c>
      <c r="C28" s="18" t="s">
        <v>23</v>
      </c>
      <c r="D28" s="27"/>
      <c r="E28" s="39"/>
      <c r="F28" s="187"/>
      <c r="G28" s="5"/>
      <c r="H28" s="5"/>
      <c r="I28" s="39"/>
      <c r="J28" s="45"/>
      <c r="K28" s="45"/>
      <c r="L28" s="77"/>
      <c r="N28" s="45"/>
      <c r="O28" s="45"/>
      <c r="R28" s="100" t="s">
        <v>41</v>
      </c>
      <c r="S28" s="99" t="s">
        <v>700</v>
      </c>
      <c r="V28" s="83" t="s">
        <v>41</v>
      </c>
      <c r="W28" s="26" t="s">
        <v>431</v>
      </c>
      <c r="Z28" s="83" t="s">
        <v>41</v>
      </c>
      <c r="AA28" s="26" t="s">
        <v>431</v>
      </c>
      <c r="AF28" s="45"/>
      <c r="AG28" s="44"/>
    </row>
    <row r="29" spans="1:33" x14ac:dyDescent="0.2">
      <c r="A29" s="184"/>
      <c r="B29" s="8"/>
      <c r="C29" s="8"/>
      <c r="D29" s="27"/>
      <c r="E29" s="39"/>
      <c r="F29" s="187"/>
      <c r="G29" s="5"/>
      <c r="H29" s="5"/>
      <c r="I29" s="39"/>
      <c r="J29" s="78"/>
      <c r="K29" s="45"/>
      <c r="L29" s="77"/>
      <c r="N29" s="25" t="s">
        <v>417</v>
      </c>
      <c r="O29" s="25" t="s">
        <v>418</v>
      </c>
      <c r="R29" s="101"/>
      <c r="S29" s="101"/>
      <c r="V29" s="45"/>
      <c r="W29" s="45"/>
      <c r="Z29" s="45"/>
      <c r="AA29" s="45"/>
      <c r="AF29" s="46"/>
      <c r="AG29" s="46"/>
    </row>
    <row r="30" spans="1:33" x14ac:dyDescent="0.2">
      <c r="A30" s="184"/>
      <c r="B30" s="8"/>
      <c r="C30" s="8"/>
      <c r="D30" s="27"/>
      <c r="E30" s="39"/>
      <c r="F30" s="6" t="s">
        <v>41</v>
      </c>
      <c r="G30" s="4" t="s">
        <v>67</v>
      </c>
      <c r="H30" s="4"/>
      <c r="I30" s="39"/>
      <c r="J30" s="46"/>
      <c r="K30" s="46"/>
      <c r="L30" s="77"/>
      <c r="N30" s="26" t="s">
        <v>433</v>
      </c>
      <c r="O30" s="26" t="s">
        <v>434</v>
      </c>
      <c r="R30" s="98" t="s">
        <v>39</v>
      </c>
      <c r="S30" s="98" t="s">
        <v>435</v>
      </c>
      <c r="V30" s="25" t="s">
        <v>417</v>
      </c>
      <c r="W30" s="25" t="s">
        <v>418</v>
      </c>
      <c r="Z30" s="25" t="s">
        <v>417</v>
      </c>
      <c r="AA30" s="25" t="s">
        <v>418</v>
      </c>
      <c r="AF30" s="46"/>
      <c r="AG30" s="46"/>
    </row>
    <row r="31" spans="1:33" x14ac:dyDescent="0.2">
      <c r="A31" s="184">
        <v>235</v>
      </c>
      <c r="B31" s="18" t="s">
        <v>30</v>
      </c>
      <c r="C31" s="18" t="s">
        <v>424</v>
      </c>
      <c r="D31" s="27"/>
      <c r="E31" s="39"/>
      <c r="F31" s="39"/>
      <c r="G31" s="39"/>
      <c r="H31" s="39"/>
      <c r="I31" s="39"/>
      <c r="J31" s="46"/>
      <c r="K31" s="46"/>
      <c r="L31" s="77"/>
      <c r="N31" s="25" t="s">
        <v>18</v>
      </c>
      <c r="O31" s="25" t="s">
        <v>422</v>
      </c>
      <c r="R31" s="99" t="s">
        <v>417</v>
      </c>
      <c r="S31" s="99" t="s">
        <v>418</v>
      </c>
      <c r="V31" s="26" t="s">
        <v>39</v>
      </c>
      <c r="W31" s="26" t="s">
        <v>436</v>
      </c>
      <c r="Z31" s="26" t="s">
        <v>54</v>
      </c>
      <c r="AA31" s="26" t="s">
        <v>438</v>
      </c>
      <c r="AF31" s="46"/>
      <c r="AG31" s="46"/>
    </row>
    <row r="32" spans="1:33" x14ac:dyDescent="0.2">
      <c r="A32" s="184"/>
      <c r="B32" s="8"/>
      <c r="C32" s="8"/>
      <c r="D32" s="27"/>
      <c r="E32" s="180"/>
      <c r="F32" s="15" t="s">
        <v>417</v>
      </c>
      <c r="G32" s="15" t="s">
        <v>418</v>
      </c>
      <c r="H32" s="197" t="s">
        <v>439</v>
      </c>
      <c r="I32" s="198"/>
      <c r="J32" s="46"/>
      <c r="K32" s="46"/>
      <c r="L32" s="77"/>
      <c r="N32" s="25" t="s">
        <v>30</v>
      </c>
      <c r="O32" s="25" t="s">
        <v>424</v>
      </c>
      <c r="R32" s="99" t="s">
        <v>421</v>
      </c>
      <c r="S32" s="99" t="s">
        <v>702</v>
      </c>
      <c r="V32" s="25" t="s">
        <v>18</v>
      </c>
      <c r="W32" s="25" t="s">
        <v>422</v>
      </c>
      <c r="Z32" s="25" t="s">
        <v>18</v>
      </c>
      <c r="AA32" s="25" t="s">
        <v>422</v>
      </c>
      <c r="AF32" s="45"/>
      <c r="AG32" s="45"/>
    </row>
    <row r="33" spans="1:33" x14ac:dyDescent="0.2">
      <c r="A33" s="184"/>
      <c r="B33" s="8"/>
      <c r="C33" s="8"/>
      <c r="D33" s="27"/>
      <c r="E33" s="180"/>
      <c r="F33" s="15" t="s">
        <v>70</v>
      </c>
      <c r="G33" s="15" t="s">
        <v>429</v>
      </c>
      <c r="H33" s="39"/>
      <c r="I33" s="39"/>
      <c r="J33" s="45"/>
      <c r="K33" s="45"/>
      <c r="L33" s="77"/>
      <c r="N33" s="83" t="s">
        <v>41</v>
      </c>
      <c r="O33" s="26" t="s">
        <v>42</v>
      </c>
      <c r="R33" s="99" t="s">
        <v>423</v>
      </c>
      <c r="S33" s="99" t="s">
        <v>23</v>
      </c>
      <c r="V33" s="25" t="s">
        <v>30</v>
      </c>
      <c r="W33" s="25" t="s">
        <v>424</v>
      </c>
      <c r="Z33" s="25" t="s">
        <v>30</v>
      </c>
      <c r="AA33" s="25" t="s">
        <v>424</v>
      </c>
      <c r="AF33" s="45"/>
      <c r="AG33" s="45"/>
    </row>
    <row r="34" spans="1:33" x14ac:dyDescent="0.2">
      <c r="B34" s="2"/>
      <c r="C34" s="2"/>
      <c r="D34" s="27"/>
      <c r="E34" s="180"/>
      <c r="F34" s="15" t="s">
        <v>18</v>
      </c>
      <c r="G34" s="15" t="s">
        <v>422</v>
      </c>
      <c r="H34" s="39"/>
      <c r="I34" s="39"/>
      <c r="J34" s="45"/>
      <c r="K34" s="45"/>
      <c r="L34" s="77"/>
      <c r="N34" s="83" t="s">
        <v>41</v>
      </c>
      <c r="O34" s="26" t="s">
        <v>431</v>
      </c>
      <c r="R34" s="100" t="s">
        <v>41</v>
      </c>
      <c r="S34" s="98" t="s">
        <v>86</v>
      </c>
      <c r="V34" s="83" t="s">
        <v>41</v>
      </c>
      <c r="W34" s="26" t="s">
        <v>437</v>
      </c>
      <c r="Z34" s="83" t="s">
        <v>41</v>
      </c>
      <c r="AA34" s="26" t="s">
        <v>437</v>
      </c>
      <c r="AF34" s="44"/>
      <c r="AG34" s="44"/>
    </row>
    <row r="35" spans="1:33" x14ac:dyDescent="0.2">
      <c r="B35" s="2"/>
      <c r="C35" s="2"/>
      <c r="D35" s="27"/>
      <c r="E35" s="180"/>
      <c r="F35" s="15" t="s">
        <v>423</v>
      </c>
      <c r="G35" s="15" t="s">
        <v>23</v>
      </c>
      <c r="H35" s="178"/>
      <c r="I35" s="39"/>
      <c r="J35" s="45"/>
      <c r="K35" s="45"/>
      <c r="L35" s="77"/>
      <c r="N35" s="45"/>
      <c r="O35" s="45"/>
      <c r="R35" s="100" t="s">
        <v>41</v>
      </c>
      <c r="S35" s="99" t="s">
        <v>700</v>
      </c>
      <c r="V35" s="83" t="s">
        <v>41</v>
      </c>
      <c r="W35" s="26" t="s">
        <v>431</v>
      </c>
      <c r="Z35" s="83" t="s">
        <v>41</v>
      </c>
      <c r="AA35" s="26" t="s">
        <v>431</v>
      </c>
      <c r="AF35" s="46"/>
      <c r="AG35" s="46"/>
    </row>
    <row r="36" spans="1:33" x14ac:dyDescent="0.2">
      <c r="B36" s="2"/>
      <c r="C36" s="2"/>
      <c r="D36" s="27"/>
      <c r="E36" s="180"/>
      <c r="F36" s="11" t="s">
        <v>41</v>
      </c>
      <c r="G36" s="12" t="s">
        <v>42</v>
      </c>
      <c r="H36" s="39"/>
      <c r="I36" s="39"/>
      <c r="J36" s="78"/>
      <c r="K36" s="45"/>
      <c r="L36" s="77"/>
      <c r="N36" s="25" t="s">
        <v>417</v>
      </c>
      <c r="O36" s="25" t="s">
        <v>418</v>
      </c>
      <c r="R36" s="101"/>
      <c r="S36" s="102"/>
      <c r="V36" s="45"/>
      <c r="W36" s="45"/>
      <c r="Z36" s="45"/>
      <c r="AA36" s="45"/>
      <c r="AF36" s="46"/>
      <c r="AG36" s="46"/>
    </row>
    <row r="37" spans="1:33" x14ac:dyDescent="0.2">
      <c r="B37" s="2"/>
      <c r="C37" s="2"/>
      <c r="D37" s="27"/>
      <c r="E37" s="180"/>
      <c r="F37" s="11" t="s">
        <v>41</v>
      </c>
      <c r="G37" s="12" t="s">
        <v>431</v>
      </c>
      <c r="H37" s="39"/>
      <c r="I37" s="39"/>
      <c r="J37" s="46"/>
      <c r="K37" s="46"/>
      <c r="L37" s="77"/>
      <c r="N37" s="26" t="s">
        <v>433</v>
      </c>
      <c r="O37" s="26" t="s">
        <v>434</v>
      </c>
      <c r="R37" s="98" t="s">
        <v>39</v>
      </c>
      <c r="S37" s="98" t="s">
        <v>435</v>
      </c>
      <c r="V37" s="25" t="s">
        <v>417</v>
      </c>
      <c r="W37" s="25" t="s">
        <v>418</v>
      </c>
      <c r="Z37" s="25" t="s">
        <v>417</v>
      </c>
      <c r="AA37" s="25" t="s">
        <v>418</v>
      </c>
      <c r="AF37" s="46"/>
      <c r="AG37" s="46"/>
    </row>
    <row r="38" spans="1:33" x14ac:dyDescent="0.2">
      <c r="B38" s="2"/>
      <c r="C38" s="2"/>
      <c r="D38" s="27"/>
      <c r="E38" s="39"/>
      <c r="F38" s="39"/>
      <c r="G38" s="39"/>
      <c r="H38" s="39"/>
      <c r="I38" s="39"/>
      <c r="J38" s="46"/>
      <c r="K38" s="46"/>
      <c r="L38" s="77"/>
      <c r="N38" s="25" t="s">
        <v>423</v>
      </c>
      <c r="O38" s="25" t="s">
        <v>23</v>
      </c>
      <c r="R38" s="99" t="s">
        <v>417</v>
      </c>
      <c r="S38" s="99" t="s">
        <v>418</v>
      </c>
      <c r="V38" s="26" t="s">
        <v>39</v>
      </c>
      <c r="W38" s="26" t="s">
        <v>436</v>
      </c>
      <c r="Z38" s="26" t="s">
        <v>54</v>
      </c>
      <c r="AA38" s="26" t="s">
        <v>438</v>
      </c>
      <c r="AF38" s="45"/>
      <c r="AG38" s="45"/>
    </row>
    <row r="39" spans="1:33" x14ac:dyDescent="0.2">
      <c r="B39" s="2"/>
      <c r="C39" s="2"/>
      <c r="D39" s="27"/>
      <c r="E39" s="39"/>
      <c r="F39" s="25" t="s">
        <v>417</v>
      </c>
      <c r="G39" s="25" t="s">
        <v>418</v>
      </c>
      <c r="H39" s="39"/>
      <c r="I39" s="39"/>
      <c r="J39" s="46"/>
      <c r="K39" s="46"/>
      <c r="L39" s="77"/>
      <c r="N39" s="25" t="s">
        <v>30</v>
      </c>
      <c r="O39" s="25" t="s">
        <v>424</v>
      </c>
      <c r="R39" s="99" t="s">
        <v>421</v>
      </c>
      <c r="S39" s="99" t="s">
        <v>702</v>
      </c>
      <c r="V39" s="25" t="s">
        <v>423</v>
      </c>
      <c r="W39" s="25" t="s">
        <v>23</v>
      </c>
      <c r="Z39" s="25" t="s">
        <v>423</v>
      </c>
      <c r="AA39" s="25" t="s">
        <v>23</v>
      </c>
      <c r="AF39" s="45"/>
      <c r="AG39" s="45"/>
    </row>
    <row r="40" spans="1:33" x14ac:dyDescent="0.2">
      <c r="B40" s="2"/>
      <c r="C40" s="2"/>
      <c r="D40" s="27"/>
      <c r="E40" s="39"/>
      <c r="F40" s="25" t="s">
        <v>70</v>
      </c>
      <c r="G40" s="25" t="s">
        <v>429</v>
      </c>
      <c r="H40" s="39"/>
      <c r="I40" s="39"/>
      <c r="J40" s="45"/>
      <c r="K40" s="45"/>
      <c r="L40" s="77"/>
      <c r="N40" s="83" t="s">
        <v>41</v>
      </c>
      <c r="O40" s="26" t="s">
        <v>42</v>
      </c>
      <c r="R40" s="99" t="s">
        <v>30</v>
      </c>
      <c r="S40" s="99" t="s">
        <v>424</v>
      </c>
      <c r="V40" s="25" t="s">
        <v>30</v>
      </c>
      <c r="W40" s="25" t="s">
        <v>424</v>
      </c>
      <c r="Z40" s="25" t="s">
        <v>30</v>
      </c>
      <c r="AA40" s="25" t="s">
        <v>424</v>
      </c>
      <c r="AF40" s="44"/>
      <c r="AG40" s="44"/>
    </row>
    <row r="41" spans="1:33" x14ac:dyDescent="0.2">
      <c r="B41" s="2"/>
      <c r="C41" s="2"/>
      <c r="D41" s="27"/>
      <c r="E41" s="39"/>
      <c r="F41" s="25" t="s">
        <v>18</v>
      </c>
      <c r="G41" s="25" t="s">
        <v>422</v>
      </c>
      <c r="H41" s="39"/>
      <c r="I41" s="39"/>
      <c r="J41" s="45"/>
      <c r="K41" s="45"/>
      <c r="L41" s="77"/>
      <c r="N41" s="83" t="s">
        <v>41</v>
      </c>
      <c r="O41" s="26" t="s">
        <v>431</v>
      </c>
      <c r="R41" s="100" t="s">
        <v>41</v>
      </c>
      <c r="S41" s="98" t="s">
        <v>86</v>
      </c>
      <c r="V41" s="83" t="s">
        <v>41</v>
      </c>
      <c r="W41" s="26" t="s">
        <v>437</v>
      </c>
      <c r="Z41" s="83" t="s">
        <v>41</v>
      </c>
      <c r="AA41" s="26" t="s">
        <v>437</v>
      </c>
      <c r="AF41" s="46"/>
      <c r="AG41" s="46"/>
    </row>
    <row r="42" spans="1:33" x14ac:dyDescent="0.2">
      <c r="B42" s="2"/>
      <c r="C42" s="2"/>
      <c r="D42" s="27"/>
      <c r="E42" s="39"/>
      <c r="F42" s="25" t="s">
        <v>30</v>
      </c>
      <c r="G42" s="25" t="s">
        <v>424</v>
      </c>
      <c r="H42" s="39"/>
      <c r="I42" s="39"/>
      <c r="J42" s="45"/>
      <c r="K42" s="45"/>
      <c r="L42" s="77"/>
      <c r="N42" s="45"/>
      <c r="O42" s="45"/>
      <c r="R42" s="100" t="s">
        <v>41</v>
      </c>
      <c r="S42" s="99" t="s">
        <v>700</v>
      </c>
      <c r="V42" s="83" t="s">
        <v>41</v>
      </c>
      <c r="W42" s="26" t="s">
        <v>431</v>
      </c>
      <c r="Z42" s="83" t="s">
        <v>41</v>
      </c>
      <c r="AA42" s="26" t="s">
        <v>431</v>
      </c>
      <c r="AF42" s="46"/>
      <c r="AG42" s="46"/>
    </row>
    <row r="43" spans="1:33" x14ac:dyDescent="0.2">
      <c r="B43" s="2"/>
      <c r="C43" s="2"/>
      <c r="E43" s="39"/>
      <c r="F43" s="83" t="s">
        <v>41</v>
      </c>
      <c r="G43" s="26" t="s">
        <v>42</v>
      </c>
      <c r="J43" s="78"/>
      <c r="K43" s="45"/>
      <c r="L43" s="77"/>
      <c r="N43" s="15" t="s">
        <v>417</v>
      </c>
      <c r="O43" s="15" t="s">
        <v>418</v>
      </c>
      <c r="P43" s="197" t="s">
        <v>464</v>
      </c>
      <c r="Q43" s="198"/>
      <c r="R43" s="102"/>
      <c r="S43" s="102"/>
      <c r="V43" s="45"/>
      <c r="W43" s="46"/>
      <c r="AF43" s="46"/>
      <c r="AG43" s="46"/>
    </row>
    <row r="44" spans="1:33" x14ac:dyDescent="0.2">
      <c r="F44" s="83" t="s">
        <v>41</v>
      </c>
      <c r="G44" s="26" t="s">
        <v>431</v>
      </c>
      <c r="J44" s="46"/>
      <c r="K44" s="46"/>
      <c r="L44" s="77"/>
      <c r="N44" s="12" t="s">
        <v>433</v>
      </c>
      <c r="O44" s="12" t="s">
        <v>434</v>
      </c>
      <c r="R44" s="98" t="s">
        <v>39</v>
      </c>
      <c r="S44" s="98" t="s">
        <v>435</v>
      </c>
      <c r="V44" s="79"/>
      <c r="W44" s="46"/>
      <c r="AF44" s="45"/>
      <c r="AG44" s="45"/>
    </row>
    <row r="45" spans="1:33" x14ac:dyDescent="0.2">
      <c r="J45" s="46"/>
      <c r="K45" s="46"/>
      <c r="L45" s="77"/>
      <c r="N45" s="15" t="s">
        <v>18</v>
      </c>
      <c r="O45" s="15" t="s">
        <v>422</v>
      </c>
      <c r="R45" s="99" t="s">
        <v>417</v>
      </c>
      <c r="S45" s="99" t="s">
        <v>418</v>
      </c>
      <c r="V45" s="46"/>
      <c r="W45" s="46"/>
      <c r="AF45" s="45"/>
      <c r="AG45" s="45"/>
    </row>
    <row r="46" spans="1:33" x14ac:dyDescent="0.2">
      <c r="F46" s="25" t="s">
        <v>417</v>
      </c>
      <c r="G46" s="25" t="s">
        <v>418</v>
      </c>
      <c r="J46" s="46"/>
      <c r="K46" s="46"/>
      <c r="L46" s="77"/>
      <c r="N46" s="15" t="s">
        <v>423</v>
      </c>
      <c r="O46" s="15" t="s">
        <v>23</v>
      </c>
      <c r="R46" s="99" t="s">
        <v>18</v>
      </c>
      <c r="S46" s="99" t="s">
        <v>422</v>
      </c>
      <c r="V46" s="46"/>
      <c r="W46" s="46"/>
      <c r="AF46" s="44"/>
      <c r="AG46" s="44"/>
    </row>
    <row r="47" spans="1:33" x14ac:dyDescent="0.2">
      <c r="F47" s="25" t="s">
        <v>70</v>
      </c>
      <c r="G47" s="25" t="s">
        <v>429</v>
      </c>
      <c r="J47" s="45"/>
      <c r="K47" s="45"/>
      <c r="L47" s="77"/>
      <c r="N47" s="11" t="s">
        <v>41</v>
      </c>
      <c r="O47" s="12" t="s">
        <v>42</v>
      </c>
      <c r="R47" s="99" t="s">
        <v>423</v>
      </c>
      <c r="S47" s="99" t="s">
        <v>23</v>
      </c>
      <c r="V47" s="46"/>
      <c r="W47" s="46"/>
      <c r="AF47" s="46"/>
      <c r="AG47" s="46"/>
    </row>
    <row r="48" spans="1:33" x14ac:dyDescent="0.2">
      <c r="F48" s="25" t="s">
        <v>423</v>
      </c>
      <c r="G48" s="25" t="s">
        <v>23</v>
      </c>
      <c r="J48" s="45"/>
      <c r="K48" s="45"/>
      <c r="L48" s="77"/>
      <c r="N48" s="11" t="s">
        <v>41</v>
      </c>
      <c r="O48" s="12" t="s">
        <v>273</v>
      </c>
      <c r="R48" s="100" t="s">
        <v>41</v>
      </c>
      <c r="S48" s="98" t="s">
        <v>86</v>
      </c>
      <c r="V48" s="46"/>
      <c r="W48" s="46"/>
      <c r="AF48" s="46"/>
      <c r="AG48" s="46"/>
    </row>
    <row r="49" spans="5:33" x14ac:dyDescent="0.2">
      <c r="F49" s="25" t="s">
        <v>30</v>
      </c>
      <c r="G49" s="25" t="s">
        <v>424</v>
      </c>
      <c r="J49" s="45"/>
      <c r="K49" s="45"/>
      <c r="L49" s="77"/>
      <c r="N49" s="45"/>
      <c r="O49" s="45"/>
      <c r="R49" s="100" t="s">
        <v>41</v>
      </c>
      <c r="S49" s="99" t="s">
        <v>700</v>
      </c>
      <c r="V49" s="45"/>
      <c r="W49" s="46"/>
      <c r="AF49" s="46"/>
      <c r="AG49" s="46"/>
    </row>
    <row r="50" spans="5:33" x14ac:dyDescent="0.2">
      <c r="F50" s="83" t="s">
        <v>41</v>
      </c>
      <c r="G50" s="26" t="s">
        <v>42</v>
      </c>
      <c r="J50" s="78"/>
      <c r="K50" s="45"/>
      <c r="L50" s="77"/>
      <c r="N50" s="25" t="s">
        <v>417</v>
      </c>
      <c r="O50" s="25" t="s">
        <v>418</v>
      </c>
      <c r="R50" s="103"/>
      <c r="S50" s="103"/>
      <c r="V50" s="79"/>
      <c r="W50" s="46"/>
      <c r="AF50" s="45"/>
      <c r="AG50" s="45"/>
    </row>
    <row r="51" spans="5:33" x14ac:dyDescent="0.2">
      <c r="F51" s="83" t="s">
        <v>41</v>
      </c>
      <c r="G51" s="26" t="s">
        <v>431</v>
      </c>
      <c r="J51" s="46"/>
      <c r="K51" s="46"/>
      <c r="L51" s="77"/>
      <c r="N51" s="26" t="s">
        <v>433</v>
      </c>
      <c r="O51" s="26" t="s">
        <v>434</v>
      </c>
      <c r="R51" s="98" t="s">
        <v>39</v>
      </c>
      <c r="S51" s="98" t="s">
        <v>435</v>
      </c>
      <c r="V51" s="46"/>
      <c r="W51" s="46"/>
      <c r="AF51" s="45"/>
      <c r="AG51" s="45"/>
    </row>
    <row r="52" spans="5:33" x14ac:dyDescent="0.2">
      <c r="J52" s="46"/>
      <c r="K52" s="46"/>
      <c r="L52" s="77"/>
      <c r="N52" s="25" t="s">
        <v>18</v>
      </c>
      <c r="O52" s="25" t="s">
        <v>422</v>
      </c>
      <c r="R52" s="99" t="s">
        <v>417</v>
      </c>
      <c r="S52" s="99" t="s">
        <v>418</v>
      </c>
      <c r="V52" s="46"/>
      <c r="W52" s="46"/>
      <c r="AF52" s="44"/>
      <c r="AG52" s="44"/>
    </row>
    <row r="53" spans="5:33" x14ac:dyDescent="0.2">
      <c r="E53" s="180"/>
      <c r="F53" s="15" t="s">
        <v>417</v>
      </c>
      <c r="G53" s="15" t="s">
        <v>418</v>
      </c>
      <c r="H53" s="197" t="s">
        <v>440</v>
      </c>
      <c r="I53" s="198"/>
      <c r="J53" s="46"/>
      <c r="K53" s="46"/>
      <c r="L53" s="77"/>
      <c r="N53" s="25" t="s">
        <v>30</v>
      </c>
      <c r="O53" s="25" t="s">
        <v>424</v>
      </c>
      <c r="R53" s="99" t="s">
        <v>18</v>
      </c>
      <c r="S53" s="99" t="s">
        <v>422</v>
      </c>
      <c r="V53" s="46"/>
      <c r="W53" s="46"/>
      <c r="AF53" s="46"/>
      <c r="AG53" s="46"/>
    </row>
    <row r="54" spans="5:33" x14ac:dyDescent="0.2">
      <c r="E54" s="180"/>
      <c r="F54" s="15" t="s">
        <v>71</v>
      </c>
      <c r="G54" s="15" t="s">
        <v>430</v>
      </c>
      <c r="J54" s="45"/>
      <c r="K54" s="45"/>
      <c r="L54" s="77"/>
      <c r="N54" s="83" t="s">
        <v>41</v>
      </c>
      <c r="O54" s="26" t="s">
        <v>42</v>
      </c>
      <c r="R54" s="99" t="s">
        <v>30</v>
      </c>
      <c r="S54" s="99" t="s">
        <v>424</v>
      </c>
      <c r="V54" s="46"/>
      <c r="W54" s="46"/>
      <c r="AF54" s="46"/>
      <c r="AG54" s="46"/>
    </row>
    <row r="55" spans="5:33" x14ac:dyDescent="0.2">
      <c r="E55" s="180"/>
      <c r="F55" s="15" t="s">
        <v>18</v>
      </c>
      <c r="G55" s="15" t="s">
        <v>422</v>
      </c>
      <c r="H55" s="197" t="s">
        <v>441</v>
      </c>
      <c r="I55" s="198"/>
      <c r="J55" s="45"/>
      <c r="K55" s="45"/>
      <c r="L55" s="77"/>
      <c r="N55" s="83" t="s">
        <v>41</v>
      </c>
      <c r="O55" s="26" t="s">
        <v>273</v>
      </c>
      <c r="R55" s="100" t="s">
        <v>41</v>
      </c>
      <c r="S55" s="98" t="s">
        <v>86</v>
      </c>
      <c r="V55" s="45"/>
      <c r="W55" s="46"/>
      <c r="AF55" s="46"/>
      <c r="AG55" s="46"/>
    </row>
    <row r="56" spans="5:33" x14ac:dyDescent="0.2">
      <c r="E56" s="180"/>
      <c r="F56" s="15" t="s">
        <v>423</v>
      </c>
      <c r="G56" s="15" t="s">
        <v>23</v>
      </c>
      <c r="H56" s="178"/>
      <c r="J56" s="45"/>
      <c r="K56" s="45"/>
      <c r="L56" s="77"/>
      <c r="N56" s="45"/>
      <c r="O56" s="45"/>
      <c r="R56" s="100" t="s">
        <v>41</v>
      </c>
      <c r="S56" s="99" t="s">
        <v>700</v>
      </c>
      <c r="V56" s="79"/>
      <c r="W56" s="46"/>
      <c r="AF56" s="45"/>
      <c r="AG56" s="45"/>
    </row>
    <row r="57" spans="5:33" x14ac:dyDescent="0.2">
      <c r="E57" s="180"/>
      <c r="F57" s="11" t="s">
        <v>41</v>
      </c>
      <c r="G57" s="12" t="s">
        <v>42</v>
      </c>
      <c r="J57" s="78"/>
      <c r="K57" s="45"/>
      <c r="L57" s="77"/>
      <c r="N57" s="25" t="s">
        <v>417</v>
      </c>
      <c r="O57" s="25" t="s">
        <v>418</v>
      </c>
      <c r="R57" s="103"/>
      <c r="S57" s="103"/>
      <c r="V57" s="46"/>
      <c r="W57" s="46"/>
      <c r="AF57" s="45"/>
      <c r="AG57" s="45"/>
    </row>
    <row r="58" spans="5:33" x14ac:dyDescent="0.2">
      <c r="F58" s="11" t="s">
        <v>41</v>
      </c>
      <c r="G58" s="12" t="s">
        <v>431</v>
      </c>
      <c r="J58" s="46"/>
      <c r="K58" s="46"/>
      <c r="L58" s="77"/>
      <c r="N58" s="26" t="s">
        <v>433</v>
      </c>
      <c r="O58" s="26" t="s">
        <v>434</v>
      </c>
      <c r="R58" s="98" t="s">
        <v>39</v>
      </c>
      <c r="S58" s="98" t="s">
        <v>435</v>
      </c>
      <c r="V58" s="46"/>
      <c r="W58" s="46"/>
    </row>
    <row r="59" spans="5:33" x14ac:dyDescent="0.2">
      <c r="J59" s="46"/>
      <c r="K59" s="46"/>
      <c r="L59" s="77"/>
      <c r="N59" s="25" t="s">
        <v>423</v>
      </c>
      <c r="O59" s="25" t="s">
        <v>23</v>
      </c>
      <c r="R59" s="99" t="s">
        <v>417</v>
      </c>
      <c r="S59" s="99" t="s">
        <v>418</v>
      </c>
      <c r="V59" s="46"/>
      <c r="W59" s="46"/>
    </row>
    <row r="60" spans="5:33" x14ac:dyDescent="0.2">
      <c r="F60" s="25" t="s">
        <v>417</v>
      </c>
      <c r="G60" s="25" t="s">
        <v>418</v>
      </c>
      <c r="J60" s="46"/>
      <c r="K60" s="46"/>
      <c r="L60" s="77"/>
      <c r="N60" s="25" t="s">
        <v>30</v>
      </c>
      <c r="O60" s="25" t="s">
        <v>424</v>
      </c>
      <c r="R60" s="99" t="s">
        <v>423</v>
      </c>
      <c r="S60" s="99" t="s">
        <v>23</v>
      </c>
      <c r="V60" s="46"/>
      <c r="W60" s="46"/>
    </row>
    <row r="61" spans="5:33" x14ac:dyDescent="0.2">
      <c r="F61" s="25" t="s">
        <v>71</v>
      </c>
      <c r="G61" s="25" t="s">
        <v>430</v>
      </c>
      <c r="J61" s="45"/>
      <c r="K61" s="45"/>
      <c r="L61" s="77"/>
      <c r="N61" s="83" t="s">
        <v>41</v>
      </c>
      <c r="O61" s="26" t="s">
        <v>42</v>
      </c>
      <c r="R61" s="99" t="s">
        <v>30</v>
      </c>
      <c r="S61" s="99" t="s">
        <v>424</v>
      </c>
      <c r="V61" s="45"/>
      <c r="W61" s="46"/>
    </row>
    <row r="62" spans="5:33" x14ac:dyDescent="0.2">
      <c r="F62" s="25" t="s">
        <v>18</v>
      </c>
      <c r="G62" s="25" t="s">
        <v>422</v>
      </c>
      <c r="J62" s="45"/>
      <c r="K62" s="45"/>
      <c r="L62" s="77"/>
      <c r="N62" s="83" t="s">
        <v>41</v>
      </c>
      <c r="O62" s="26" t="s">
        <v>273</v>
      </c>
      <c r="R62" s="100" t="s">
        <v>41</v>
      </c>
      <c r="S62" s="98" t="s">
        <v>86</v>
      </c>
      <c r="V62" s="79"/>
      <c r="W62" s="46"/>
    </row>
    <row r="63" spans="5:33" x14ac:dyDescent="0.2">
      <c r="F63" s="25" t="s">
        <v>30</v>
      </c>
      <c r="G63" s="25" t="s">
        <v>424</v>
      </c>
      <c r="J63" s="45"/>
      <c r="K63" s="45"/>
      <c r="L63" s="77"/>
      <c r="R63" s="100" t="s">
        <v>41</v>
      </c>
      <c r="S63" s="99" t="s">
        <v>700</v>
      </c>
      <c r="V63" s="46"/>
      <c r="W63" s="46"/>
    </row>
    <row r="64" spans="5:33" x14ac:dyDescent="0.2">
      <c r="F64" s="83" t="s">
        <v>41</v>
      </c>
      <c r="G64" s="26" t="s">
        <v>42</v>
      </c>
      <c r="J64" s="78"/>
      <c r="K64" s="45"/>
      <c r="L64" s="77"/>
      <c r="R64" s="46"/>
      <c r="S64" s="46"/>
      <c r="V64" s="46"/>
      <c r="W64" s="46"/>
    </row>
    <row r="65" spans="5:23" x14ac:dyDescent="0.2">
      <c r="F65" s="83" t="s">
        <v>41</v>
      </c>
      <c r="G65" s="26" t="s">
        <v>431</v>
      </c>
      <c r="R65" s="203" t="s">
        <v>723</v>
      </c>
      <c r="S65" s="203"/>
      <c r="V65" s="46"/>
      <c r="W65" s="46"/>
    </row>
    <row r="66" spans="5:23" x14ac:dyDescent="0.2">
      <c r="R66" s="203"/>
      <c r="S66" s="203"/>
      <c r="V66" s="46"/>
      <c r="W66" s="46"/>
    </row>
    <row r="67" spans="5:23" x14ac:dyDescent="0.2">
      <c r="F67" s="25" t="s">
        <v>417</v>
      </c>
      <c r="G67" s="25" t="s">
        <v>418</v>
      </c>
      <c r="R67" s="203"/>
      <c r="S67" s="203"/>
      <c r="V67" s="45"/>
      <c r="W67" s="46"/>
    </row>
    <row r="68" spans="5:23" x14ac:dyDescent="0.2">
      <c r="F68" s="25" t="s">
        <v>71</v>
      </c>
      <c r="G68" s="25" t="s">
        <v>430</v>
      </c>
      <c r="R68" s="203"/>
      <c r="S68" s="203"/>
      <c r="V68" s="79"/>
      <c r="W68" s="46"/>
    </row>
    <row r="69" spans="5:23" x14ac:dyDescent="0.2">
      <c r="F69" s="25" t="s">
        <v>423</v>
      </c>
      <c r="G69" s="25" t="s">
        <v>23</v>
      </c>
      <c r="R69" s="203"/>
      <c r="S69" s="203"/>
      <c r="V69" s="46"/>
      <c r="W69" s="46"/>
    </row>
    <row r="70" spans="5:23" x14ac:dyDescent="0.2">
      <c r="F70" s="25" t="s">
        <v>30</v>
      </c>
      <c r="G70" s="25" t="s">
        <v>424</v>
      </c>
      <c r="R70" s="203"/>
      <c r="S70" s="203"/>
      <c r="V70" s="46"/>
      <c r="W70" s="46"/>
    </row>
    <row r="71" spans="5:23" x14ac:dyDescent="0.2">
      <c r="F71" s="83" t="s">
        <v>41</v>
      </c>
      <c r="G71" s="26" t="s">
        <v>42</v>
      </c>
      <c r="R71" s="45"/>
      <c r="S71" s="45"/>
      <c r="V71" s="46"/>
      <c r="W71" s="46"/>
    </row>
    <row r="72" spans="5:23" x14ac:dyDescent="0.2">
      <c r="F72" s="83" t="s">
        <v>41</v>
      </c>
      <c r="G72" s="26" t="s">
        <v>431</v>
      </c>
      <c r="R72" s="45"/>
      <c r="S72" s="81"/>
      <c r="V72" s="46"/>
      <c r="W72" s="46"/>
    </row>
    <row r="73" spans="5:23" x14ac:dyDescent="0.2">
      <c r="R73" s="81"/>
      <c r="S73" s="81"/>
      <c r="V73" s="45"/>
      <c r="W73" s="46"/>
    </row>
    <row r="74" spans="5:23" x14ac:dyDescent="0.2">
      <c r="E74" s="180"/>
      <c r="F74" s="15" t="s">
        <v>70</v>
      </c>
      <c r="G74" s="15" t="s">
        <v>429</v>
      </c>
      <c r="R74" s="46"/>
      <c r="S74" s="46"/>
      <c r="V74" s="79"/>
      <c r="W74" s="46"/>
    </row>
    <row r="75" spans="5:23" x14ac:dyDescent="0.2">
      <c r="E75" s="180"/>
      <c r="F75" s="15" t="s">
        <v>71</v>
      </c>
      <c r="G75" s="15" t="s">
        <v>430</v>
      </c>
      <c r="H75" s="197" t="s">
        <v>442</v>
      </c>
      <c r="I75" s="198"/>
      <c r="R75" s="46"/>
      <c r="S75" s="46"/>
      <c r="V75" s="46"/>
      <c r="W75" s="46"/>
    </row>
    <row r="76" spans="5:23" x14ac:dyDescent="0.2">
      <c r="E76" s="180"/>
      <c r="F76" s="15" t="s">
        <v>18</v>
      </c>
      <c r="G76" s="15" t="s">
        <v>422</v>
      </c>
      <c r="R76" s="45"/>
      <c r="S76" s="45"/>
      <c r="V76" s="46"/>
      <c r="W76" s="46"/>
    </row>
    <row r="77" spans="5:23" x14ac:dyDescent="0.2">
      <c r="E77" s="180"/>
      <c r="F77" s="15" t="s">
        <v>423</v>
      </c>
      <c r="G77" s="15" t="s">
        <v>23</v>
      </c>
      <c r="H77" s="204" t="s">
        <v>443</v>
      </c>
      <c r="I77" s="205"/>
      <c r="R77" s="45"/>
      <c r="S77" s="45"/>
      <c r="V77" s="46"/>
      <c r="W77" s="46"/>
    </row>
    <row r="78" spans="5:23" x14ac:dyDescent="0.2">
      <c r="E78" s="180"/>
      <c r="F78" s="11" t="s">
        <v>41</v>
      </c>
      <c r="G78" s="12" t="s">
        <v>42</v>
      </c>
      <c r="H78" s="197" t="s">
        <v>722</v>
      </c>
      <c r="I78" s="198"/>
      <c r="R78" s="45"/>
      <c r="S78" s="81"/>
      <c r="V78" s="46"/>
      <c r="W78" s="46"/>
    </row>
    <row r="79" spans="5:23" x14ac:dyDescent="0.2">
      <c r="E79" s="180"/>
      <c r="F79" s="11" t="s">
        <v>41</v>
      </c>
      <c r="G79" s="12" t="s">
        <v>431</v>
      </c>
      <c r="R79" s="81"/>
      <c r="S79" s="81"/>
      <c r="V79" s="45"/>
      <c r="W79" s="46"/>
    </row>
    <row r="80" spans="5:23" x14ac:dyDescent="0.2">
      <c r="R80" s="46"/>
      <c r="S80" s="46"/>
      <c r="V80" s="79"/>
      <c r="W80" s="46"/>
    </row>
    <row r="81" spans="6:23" x14ac:dyDescent="0.2">
      <c r="F81" s="25" t="s">
        <v>70</v>
      </c>
      <c r="G81" s="25" t="s">
        <v>429</v>
      </c>
      <c r="R81" s="46"/>
      <c r="S81" s="46"/>
      <c r="V81" s="46"/>
      <c r="W81" s="46"/>
    </row>
    <row r="82" spans="6:23" x14ac:dyDescent="0.2">
      <c r="F82" s="25" t="s">
        <v>71</v>
      </c>
      <c r="G82" s="25" t="s">
        <v>430</v>
      </c>
      <c r="R82" s="46"/>
      <c r="S82" s="46"/>
      <c r="V82" s="46"/>
      <c r="W82" s="46"/>
    </row>
    <row r="83" spans="6:23" x14ac:dyDescent="0.2">
      <c r="F83" s="25" t="s">
        <v>18</v>
      </c>
      <c r="G83" s="25" t="s">
        <v>422</v>
      </c>
      <c r="R83" s="45"/>
      <c r="S83" s="45"/>
      <c r="V83" s="46"/>
      <c r="W83" s="46"/>
    </row>
    <row r="84" spans="6:23" x14ac:dyDescent="0.2">
      <c r="F84" s="25" t="s">
        <v>30</v>
      </c>
      <c r="G84" s="25" t="s">
        <v>424</v>
      </c>
      <c r="R84" s="45"/>
      <c r="S84" s="81"/>
      <c r="V84" s="46"/>
      <c r="W84" s="46"/>
    </row>
    <row r="85" spans="6:23" x14ac:dyDescent="0.2">
      <c r="F85" s="83" t="s">
        <v>41</v>
      </c>
      <c r="G85" s="26" t="s">
        <v>42</v>
      </c>
      <c r="R85" s="81"/>
      <c r="S85" s="81"/>
      <c r="V85" s="45"/>
      <c r="W85" s="46"/>
    </row>
    <row r="86" spans="6:23" x14ac:dyDescent="0.2">
      <c r="F86" s="83" t="s">
        <v>41</v>
      </c>
      <c r="G86" s="26" t="s">
        <v>431</v>
      </c>
      <c r="R86" s="46"/>
      <c r="S86" s="46"/>
      <c r="V86" s="79"/>
      <c r="W86" s="46"/>
    </row>
    <row r="87" spans="6:23" x14ac:dyDescent="0.2">
      <c r="R87" s="46"/>
      <c r="S87" s="46"/>
      <c r="V87" s="46"/>
      <c r="W87" s="46"/>
    </row>
    <row r="88" spans="6:23" x14ac:dyDescent="0.2">
      <c r="F88" s="25" t="s">
        <v>70</v>
      </c>
      <c r="G88" s="25" t="s">
        <v>429</v>
      </c>
      <c r="R88" s="46"/>
      <c r="S88" s="46"/>
      <c r="V88" s="46"/>
      <c r="W88" s="46"/>
    </row>
    <row r="89" spans="6:23" x14ac:dyDescent="0.2">
      <c r="F89" s="25" t="s">
        <v>71</v>
      </c>
      <c r="G89" s="25" t="s">
        <v>430</v>
      </c>
      <c r="R89" s="45"/>
      <c r="S89" s="45"/>
      <c r="V89" s="46"/>
      <c r="W89" s="46"/>
    </row>
    <row r="90" spans="6:23" x14ac:dyDescent="0.2">
      <c r="F90" s="25" t="s">
        <v>423</v>
      </c>
      <c r="G90" s="25" t="s">
        <v>23</v>
      </c>
      <c r="R90" s="45"/>
      <c r="S90" s="81"/>
      <c r="V90" s="46"/>
      <c r="W90" s="46"/>
    </row>
    <row r="91" spans="6:23" x14ac:dyDescent="0.2">
      <c r="F91" s="25" t="s">
        <v>30</v>
      </c>
      <c r="G91" s="25" t="s">
        <v>424</v>
      </c>
      <c r="Q91" s="32"/>
      <c r="R91" s="81"/>
      <c r="S91" s="81"/>
      <c r="V91" s="45"/>
      <c r="W91" s="46"/>
    </row>
    <row r="92" spans="6:23" x14ac:dyDescent="0.2">
      <c r="F92" s="83" t="s">
        <v>41</v>
      </c>
      <c r="G92" s="26" t="s">
        <v>42</v>
      </c>
      <c r="Q92" s="32"/>
      <c r="R92" s="46"/>
      <c r="S92" s="46"/>
      <c r="V92" s="79"/>
      <c r="W92" s="46"/>
    </row>
    <row r="93" spans="6:23" x14ac:dyDescent="0.2">
      <c r="F93" s="83" t="s">
        <v>41</v>
      </c>
      <c r="G93" s="26" t="s">
        <v>431</v>
      </c>
      <c r="R93" s="46"/>
      <c r="S93" s="46"/>
      <c r="V93" s="46"/>
      <c r="W93" s="46"/>
    </row>
    <row r="94" spans="6:23" x14ac:dyDescent="0.2">
      <c r="R94" s="45"/>
      <c r="S94" s="45"/>
      <c r="V94" s="46"/>
      <c r="W94" s="46"/>
    </row>
    <row r="95" spans="6:23" x14ac:dyDescent="0.2">
      <c r="F95" s="15" t="s">
        <v>421</v>
      </c>
      <c r="G95" s="15" t="s">
        <v>702</v>
      </c>
      <c r="H95" s="197" t="s">
        <v>703</v>
      </c>
      <c r="I95" s="198"/>
      <c r="O95"/>
      <c r="P95"/>
      <c r="R95" s="45"/>
      <c r="S95" s="45"/>
      <c r="V95" s="46"/>
      <c r="W95" s="46"/>
    </row>
    <row r="96" spans="6:23" x14ac:dyDescent="0.2">
      <c r="F96" s="15" t="s">
        <v>18</v>
      </c>
      <c r="G96" s="15" t="s">
        <v>422</v>
      </c>
      <c r="O96"/>
      <c r="P96"/>
      <c r="R96" s="45"/>
      <c r="S96" s="81"/>
      <c r="V96" s="46"/>
      <c r="W96" s="46"/>
    </row>
    <row r="97" spans="6:23" x14ac:dyDescent="0.2">
      <c r="F97" s="15" t="s">
        <v>427</v>
      </c>
      <c r="G97" s="15" t="s">
        <v>656</v>
      </c>
      <c r="O97"/>
      <c r="P97"/>
      <c r="R97" s="81"/>
      <c r="S97" s="81"/>
      <c r="V97" s="45"/>
      <c r="W97" s="46"/>
    </row>
    <row r="98" spans="6:23" x14ac:dyDescent="0.2">
      <c r="F98" s="15" t="s">
        <v>71</v>
      </c>
      <c r="G98" s="15" t="s">
        <v>430</v>
      </c>
      <c r="O98"/>
      <c r="P98"/>
      <c r="R98" s="46"/>
      <c r="S98" s="46"/>
      <c r="V98" s="79"/>
      <c r="W98" s="46"/>
    </row>
    <row r="99" spans="6:23" x14ac:dyDescent="0.2">
      <c r="F99" s="11" t="s">
        <v>41</v>
      </c>
      <c r="G99" s="12" t="s">
        <v>67</v>
      </c>
      <c r="O99"/>
      <c r="P99"/>
      <c r="R99" s="46"/>
      <c r="S99" s="46"/>
      <c r="V99" s="46"/>
      <c r="W99" s="46"/>
    </row>
    <row r="100" spans="6:23" x14ac:dyDescent="0.2">
      <c r="F100" s="11" t="s">
        <v>41</v>
      </c>
      <c r="G100" s="15" t="s">
        <v>700</v>
      </c>
      <c r="O100"/>
      <c r="P100"/>
      <c r="R100" s="46"/>
      <c r="S100" s="46"/>
      <c r="V100" s="46"/>
      <c r="W100" s="46"/>
    </row>
    <row r="101" spans="6:23" x14ac:dyDescent="0.2">
      <c r="O101"/>
      <c r="P101"/>
      <c r="R101" s="45"/>
      <c r="S101" s="45"/>
      <c r="V101" s="46"/>
      <c r="W101" s="46"/>
    </row>
    <row r="102" spans="6:23" x14ac:dyDescent="0.2">
      <c r="F102" s="15" t="s">
        <v>421</v>
      </c>
      <c r="G102" s="15" t="s">
        <v>701</v>
      </c>
      <c r="H102" s="197" t="s">
        <v>705</v>
      </c>
      <c r="I102" s="198"/>
      <c r="O102"/>
      <c r="P102"/>
      <c r="R102" s="45"/>
      <c r="S102" s="81"/>
      <c r="V102" s="46"/>
      <c r="W102" s="46"/>
    </row>
    <row r="103" spans="6:23" x14ac:dyDescent="0.2">
      <c r="F103" s="15" t="s">
        <v>18</v>
      </c>
      <c r="G103" s="15" t="s">
        <v>422</v>
      </c>
      <c r="O103"/>
      <c r="P103"/>
      <c r="R103" s="81"/>
      <c r="S103" s="81"/>
      <c r="V103" s="45"/>
      <c r="W103" s="46"/>
    </row>
    <row r="104" spans="6:23" x14ac:dyDescent="0.2">
      <c r="F104" s="15" t="s">
        <v>417</v>
      </c>
      <c r="G104" s="15" t="s">
        <v>418</v>
      </c>
      <c r="O104"/>
      <c r="P104"/>
      <c r="R104" s="46"/>
      <c r="S104" s="46"/>
      <c r="V104" s="79"/>
      <c r="W104" s="46"/>
    </row>
    <row r="105" spans="6:23" x14ac:dyDescent="0.2">
      <c r="F105" s="15" t="s">
        <v>427</v>
      </c>
      <c r="G105" s="15" t="s">
        <v>704</v>
      </c>
      <c r="H105" s="179"/>
      <c r="O105"/>
      <c r="P105"/>
      <c r="R105" s="46"/>
      <c r="S105" s="46"/>
      <c r="V105" s="46"/>
      <c r="W105" s="46"/>
    </row>
    <row r="106" spans="6:23" x14ac:dyDescent="0.2">
      <c r="F106" s="11" t="s">
        <v>41</v>
      </c>
      <c r="G106" s="12" t="s">
        <v>67</v>
      </c>
      <c r="O106"/>
      <c r="P106"/>
      <c r="R106" s="46"/>
      <c r="S106" s="46"/>
      <c r="V106" s="46"/>
      <c r="W106" s="46"/>
    </row>
    <row r="107" spans="6:23" x14ac:dyDescent="0.2">
      <c r="F107" s="11" t="s">
        <v>41</v>
      </c>
      <c r="G107" s="15" t="s">
        <v>700</v>
      </c>
      <c r="O107"/>
      <c r="P107"/>
      <c r="R107" s="45"/>
      <c r="S107" s="45"/>
      <c r="V107" s="46"/>
      <c r="W107" s="46"/>
    </row>
    <row r="108" spans="6:23" x14ac:dyDescent="0.2">
      <c r="F108" s="1"/>
      <c r="G108" s="32"/>
      <c r="O108"/>
      <c r="P108"/>
      <c r="R108" s="45"/>
      <c r="S108" s="81"/>
      <c r="V108" s="46"/>
      <c r="W108" s="46"/>
    </row>
    <row r="109" spans="6:23" x14ac:dyDescent="0.2">
      <c r="F109" s="15" t="s">
        <v>421</v>
      </c>
      <c r="G109" s="15" t="s">
        <v>701</v>
      </c>
      <c r="H109" s="197" t="s">
        <v>706</v>
      </c>
      <c r="I109" s="198"/>
      <c r="O109"/>
      <c r="P109"/>
      <c r="R109" s="81"/>
      <c r="S109" s="81"/>
      <c r="V109" s="45"/>
      <c r="W109" s="46"/>
    </row>
    <row r="110" spans="6:23" x14ac:dyDescent="0.2">
      <c r="F110" s="15" t="s">
        <v>18</v>
      </c>
      <c r="G110" s="15" t="s">
        <v>422</v>
      </c>
      <c r="O110"/>
      <c r="P110"/>
      <c r="R110" s="46"/>
      <c r="S110" s="46"/>
      <c r="V110" s="79"/>
      <c r="W110" s="46"/>
    </row>
    <row r="111" spans="6:23" x14ac:dyDescent="0.2">
      <c r="F111" s="15" t="s">
        <v>417</v>
      </c>
      <c r="G111" s="15" t="s">
        <v>418</v>
      </c>
      <c r="O111"/>
      <c r="P111"/>
      <c r="R111" s="46"/>
      <c r="S111" s="46"/>
      <c r="V111" s="46"/>
      <c r="W111" s="46"/>
    </row>
    <row r="112" spans="6:23" x14ac:dyDescent="0.2">
      <c r="F112" s="15" t="s">
        <v>70</v>
      </c>
      <c r="G112" s="15" t="s">
        <v>429</v>
      </c>
      <c r="O112"/>
      <c r="P112"/>
      <c r="R112" s="45"/>
      <c r="S112" s="45"/>
      <c r="V112" s="46"/>
      <c r="W112" s="46"/>
    </row>
    <row r="113" spans="6:23" x14ac:dyDescent="0.2">
      <c r="F113" s="11" t="s">
        <v>41</v>
      </c>
      <c r="G113" s="12" t="s">
        <v>67</v>
      </c>
      <c r="O113"/>
      <c r="P113"/>
      <c r="R113" s="45"/>
      <c r="S113" s="45"/>
      <c r="V113" s="46"/>
      <c r="W113" s="46"/>
    </row>
    <row r="114" spans="6:23" x14ac:dyDescent="0.2">
      <c r="F114" s="11" t="s">
        <v>41</v>
      </c>
      <c r="G114" s="15" t="s">
        <v>700</v>
      </c>
      <c r="O114"/>
      <c r="P114"/>
      <c r="R114" s="45"/>
      <c r="S114" s="81"/>
      <c r="V114" s="46"/>
      <c r="W114" s="46"/>
    </row>
    <row r="115" spans="6:23" x14ac:dyDescent="0.2">
      <c r="F115" s="32"/>
      <c r="G115" s="32"/>
      <c r="O115"/>
      <c r="P115"/>
      <c r="R115" s="81"/>
      <c r="S115" s="81"/>
      <c r="V115" s="45"/>
      <c r="W115" s="46"/>
    </row>
    <row r="116" spans="6:23" x14ac:dyDescent="0.2">
      <c r="F116" s="15" t="s">
        <v>421</v>
      </c>
      <c r="G116" s="15" t="s">
        <v>701</v>
      </c>
      <c r="H116" s="197" t="s">
        <v>707</v>
      </c>
      <c r="I116" s="198"/>
      <c r="O116"/>
      <c r="P116"/>
      <c r="R116" s="46"/>
      <c r="S116" s="46"/>
      <c r="V116" s="79"/>
      <c r="W116" s="46"/>
    </row>
    <row r="117" spans="6:23" x14ac:dyDescent="0.2">
      <c r="F117" s="15" t="s">
        <v>18</v>
      </c>
      <c r="G117" s="15" t="s">
        <v>422</v>
      </c>
      <c r="O117"/>
      <c r="P117"/>
      <c r="R117" s="46"/>
      <c r="S117" s="46"/>
      <c r="V117" s="46"/>
      <c r="W117" s="46"/>
    </row>
    <row r="118" spans="6:23" x14ac:dyDescent="0.2">
      <c r="F118" s="15" t="s">
        <v>417</v>
      </c>
      <c r="G118" s="15" t="s">
        <v>418</v>
      </c>
      <c r="O118"/>
      <c r="P118"/>
      <c r="R118" s="46"/>
      <c r="S118" s="46"/>
      <c r="V118" s="46"/>
      <c r="W118" s="46"/>
    </row>
    <row r="119" spans="6:23" x14ac:dyDescent="0.2">
      <c r="F119" s="15" t="s">
        <v>71</v>
      </c>
      <c r="G119" s="15" t="s">
        <v>430</v>
      </c>
      <c r="O119"/>
      <c r="P119"/>
      <c r="R119" s="45"/>
      <c r="S119" s="45"/>
      <c r="V119" s="46"/>
      <c r="W119" s="46"/>
    </row>
    <row r="120" spans="6:23" x14ac:dyDescent="0.2">
      <c r="F120" s="11" t="s">
        <v>41</v>
      </c>
      <c r="G120" s="12" t="s">
        <v>67</v>
      </c>
      <c r="O120"/>
      <c r="P120"/>
      <c r="R120" s="45"/>
      <c r="S120" s="81"/>
      <c r="V120" s="46"/>
      <c r="W120" s="46"/>
    </row>
    <row r="121" spans="6:23" x14ac:dyDescent="0.2">
      <c r="F121" s="11" t="s">
        <v>41</v>
      </c>
      <c r="G121" s="15" t="s">
        <v>700</v>
      </c>
      <c r="O121"/>
      <c r="P121"/>
      <c r="R121" s="81"/>
      <c r="S121" s="81"/>
      <c r="V121" s="45"/>
      <c r="W121" s="46"/>
    </row>
    <row r="122" spans="6:23" x14ac:dyDescent="0.2">
      <c r="F122" s="30"/>
      <c r="G122" s="30"/>
      <c r="R122" s="46"/>
      <c r="S122" s="46"/>
      <c r="V122" s="79"/>
      <c r="W122" s="46"/>
    </row>
    <row r="123" spans="6:23" x14ac:dyDescent="0.2">
      <c r="F123" s="15" t="s">
        <v>421</v>
      </c>
      <c r="G123" s="15" t="s">
        <v>701</v>
      </c>
      <c r="H123" s="197" t="s">
        <v>708</v>
      </c>
      <c r="I123" s="198"/>
      <c r="R123" s="46"/>
      <c r="S123" s="46"/>
      <c r="V123" s="46"/>
      <c r="W123" s="46"/>
    </row>
    <row r="124" spans="6:23" x14ac:dyDescent="0.2">
      <c r="F124" s="15" t="s">
        <v>18</v>
      </c>
      <c r="G124" s="15" t="s">
        <v>422</v>
      </c>
      <c r="R124" s="46"/>
      <c r="S124" s="46"/>
      <c r="V124" s="46"/>
      <c r="W124" s="46"/>
    </row>
    <row r="125" spans="6:23" x14ac:dyDescent="0.2">
      <c r="F125" s="15" t="s">
        <v>427</v>
      </c>
      <c r="G125" s="15" t="s">
        <v>704</v>
      </c>
      <c r="H125" s="179"/>
      <c r="R125" s="45"/>
      <c r="S125" s="45"/>
      <c r="V125" s="46"/>
      <c r="W125" s="46"/>
    </row>
    <row r="126" spans="6:23" x14ac:dyDescent="0.2">
      <c r="F126" s="15" t="s">
        <v>70</v>
      </c>
      <c r="G126" s="15" t="s">
        <v>429</v>
      </c>
      <c r="R126" s="45"/>
      <c r="S126" s="81"/>
      <c r="V126" s="46"/>
      <c r="W126" s="46"/>
    </row>
    <row r="127" spans="6:23" x14ac:dyDescent="0.2">
      <c r="F127" s="11" t="s">
        <v>41</v>
      </c>
      <c r="G127" s="12" t="s">
        <v>67</v>
      </c>
      <c r="R127" s="81"/>
      <c r="S127" s="81"/>
      <c r="V127" s="45"/>
      <c r="W127" s="46"/>
    </row>
    <row r="128" spans="6:23" x14ac:dyDescent="0.2">
      <c r="F128" s="11" t="s">
        <v>41</v>
      </c>
      <c r="G128" s="15" t="s">
        <v>700</v>
      </c>
      <c r="R128" s="46"/>
      <c r="S128" s="46"/>
      <c r="V128" s="44"/>
      <c r="W128" s="44"/>
    </row>
    <row r="129" spans="5:23" x14ac:dyDescent="0.2">
      <c r="F129" s="30"/>
      <c r="G129" s="30"/>
      <c r="R129" s="46"/>
      <c r="S129" s="46"/>
      <c r="V129" s="46"/>
      <c r="W129" s="46"/>
    </row>
    <row r="130" spans="5:23" x14ac:dyDescent="0.2">
      <c r="F130" s="15" t="s">
        <v>421</v>
      </c>
      <c r="G130" s="15" t="s">
        <v>701</v>
      </c>
      <c r="H130" s="197" t="s">
        <v>709</v>
      </c>
      <c r="I130" s="198"/>
      <c r="R130" s="45"/>
      <c r="S130" s="45"/>
      <c r="V130" s="46"/>
      <c r="W130" s="46"/>
    </row>
    <row r="131" spans="5:23" x14ac:dyDescent="0.2">
      <c r="F131" s="15" t="s">
        <v>18</v>
      </c>
      <c r="G131" s="15" t="s">
        <v>422</v>
      </c>
      <c r="R131" s="45"/>
      <c r="S131" s="45"/>
      <c r="V131" s="46"/>
      <c r="W131" s="46"/>
    </row>
    <row r="132" spans="5:23" x14ac:dyDescent="0.2">
      <c r="F132" s="15" t="s">
        <v>70</v>
      </c>
      <c r="G132" s="15" t="s">
        <v>429</v>
      </c>
      <c r="R132" s="45"/>
      <c r="S132" s="81"/>
      <c r="V132" s="46"/>
      <c r="W132" s="46"/>
    </row>
    <row r="133" spans="5:23" x14ac:dyDescent="0.2">
      <c r="F133" s="15" t="s">
        <v>71</v>
      </c>
      <c r="G133" s="15" t="s">
        <v>430</v>
      </c>
      <c r="R133" s="81"/>
      <c r="S133" s="81"/>
      <c r="V133" s="45"/>
      <c r="W133" s="46"/>
    </row>
    <row r="134" spans="5:23" x14ac:dyDescent="0.2">
      <c r="F134" s="11" t="s">
        <v>41</v>
      </c>
      <c r="G134" s="12" t="s">
        <v>67</v>
      </c>
      <c r="R134" s="46"/>
      <c r="S134" s="46"/>
      <c r="V134" s="44"/>
      <c r="W134" s="44"/>
    </row>
    <row r="135" spans="5:23" x14ac:dyDescent="0.2">
      <c r="F135" s="11" t="s">
        <v>41</v>
      </c>
      <c r="G135" s="15" t="s">
        <v>700</v>
      </c>
      <c r="R135" s="46"/>
      <c r="S135" s="46"/>
      <c r="V135" s="46"/>
      <c r="W135" s="46"/>
    </row>
    <row r="136" spans="5:23" x14ac:dyDescent="0.2">
      <c r="F136" s="39"/>
      <c r="G136" s="39"/>
      <c r="R136" s="46"/>
      <c r="S136" s="46"/>
      <c r="V136" s="46"/>
      <c r="W136" s="46"/>
    </row>
    <row r="137" spans="5:23" x14ac:dyDescent="0.2">
      <c r="E137" s="180"/>
      <c r="F137" s="15" t="s">
        <v>421</v>
      </c>
      <c r="G137" s="15" t="s">
        <v>701</v>
      </c>
      <c r="H137" s="197" t="s">
        <v>710</v>
      </c>
      <c r="I137" s="198"/>
      <c r="R137" s="45"/>
      <c r="S137" s="45"/>
      <c r="V137" s="46"/>
      <c r="W137" s="46"/>
    </row>
    <row r="138" spans="5:23" x14ac:dyDescent="0.2">
      <c r="E138" s="180"/>
      <c r="F138" s="15" t="s">
        <v>423</v>
      </c>
      <c r="G138" s="15" t="s">
        <v>23</v>
      </c>
      <c r="H138" s="178"/>
      <c r="R138" s="45"/>
      <c r="S138" s="81"/>
      <c r="V138" s="46"/>
      <c r="W138" s="46"/>
    </row>
    <row r="139" spans="5:23" x14ac:dyDescent="0.2">
      <c r="E139" s="180"/>
      <c r="F139" s="15" t="s">
        <v>417</v>
      </c>
      <c r="G139" s="15" t="s">
        <v>418</v>
      </c>
      <c r="R139" s="81"/>
      <c r="S139" s="81"/>
      <c r="V139" s="45"/>
      <c r="W139" s="46"/>
    </row>
    <row r="140" spans="5:23" x14ac:dyDescent="0.2">
      <c r="E140" s="180"/>
      <c r="F140" s="15" t="s">
        <v>427</v>
      </c>
      <c r="G140" s="15" t="s">
        <v>704</v>
      </c>
      <c r="R140" s="46"/>
      <c r="S140" s="46"/>
      <c r="V140" s="44"/>
      <c r="W140" s="44"/>
    </row>
    <row r="141" spans="5:23" x14ac:dyDescent="0.2">
      <c r="E141" s="180"/>
      <c r="F141" s="11" t="s">
        <v>41</v>
      </c>
      <c r="G141" s="12" t="s">
        <v>67</v>
      </c>
      <c r="R141" s="46"/>
      <c r="S141" s="46"/>
      <c r="V141" s="46"/>
      <c r="W141" s="46"/>
    </row>
    <row r="142" spans="5:23" x14ac:dyDescent="0.2">
      <c r="E142" s="180"/>
      <c r="F142" s="11" t="s">
        <v>41</v>
      </c>
      <c r="G142" s="15" t="s">
        <v>700</v>
      </c>
      <c r="R142" s="46"/>
      <c r="S142" s="46"/>
      <c r="V142" s="46"/>
      <c r="W142" s="46"/>
    </row>
    <row r="143" spans="5:23" x14ac:dyDescent="0.2">
      <c r="F143" s="32"/>
      <c r="G143" s="32"/>
      <c r="R143" s="45"/>
      <c r="S143" s="45"/>
      <c r="V143" s="46"/>
      <c r="W143" s="46"/>
    </row>
    <row r="144" spans="5:23" x14ac:dyDescent="0.2">
      <c r="E144" s="180"/>
      <c r="F144" s="15" t="s">
        <v>421</v>
      </c>
      <c r="G144" s="15" t="s">
        <v>701</v>
      </c>
      <c r="H144" s="197" t="s">
        <v>711</v>
      </c>
      <c r="I144" s="198"/>
      <c r="R144" s="45"/>
      <c r="S144" s="81"/>
      <c r="V144" s="46"/>
      <c r="W144" s="46"/>
    </row>
    <row r="145" spans="5:23" x14ac:dyDescent="0.2">
      <c r="E145" s="180"/>
      <c r="F145" s="15" t="s">
        <v>423</v>
      </c>
      <c r="G145" s="15" t="s">
        <v>23</v>
      </c>
      <c r="H145" s="178"/>
      <c r="R145" s="81"/>
      <c r="S145" s="81"/>
      <c r="V145" s="45"/>
      <c r="W145" s="46"/>
    </row>
    <row r="146" spans="5:23" x14ac:dyDescent="0.2">
      <c r="E146" s="180"/>
      <c r="F146" s="15" t="s">
        <v>417</v>
      </c>
      <c r="G146" s="15" t="s">
        <v>418</v>
      </c>
      <c r="R146" s="46"/>
      <c r="S146" s="46"/>
      <c r="V146" s="44"/>
      <c r="W146" s="44"/>
    </row>
    <row r="147" spans="5:23" x14ac:dyDescent="0.2">
      <c r="E147" s="180"/>
      <c r="F147" s="15" t="s">
        <v>70</v>
      </c>
      <c r="G147" s="15" t="s">
        <v>429</v>
      </c>
      <c r="R147" s="46"/>
      <c r="S147" s="46"/>
      <c r="V147" s="46"/>
      <c r="W147" s="46"/>
    </row>
    <row r="148" spans="5:23" x14ac:dyDescent="0.2">
      <c r="E148" s="180"/>
      <c r="F148" s="11" t="s">
        <v>41</v>
      </c>
      <c r="G148" s="12" t="s">
        <v>67</v>
      </c>
      <c r="R148" s="45"/>
      <c r="S148" s="45"/>
      <c r="V148" s="46"/>
      <c r="W148" s="46"/>
    </row>
    <row r="149" spans="5:23" x14ac:dyDescent="0.2">
      <c r="E149" s="180"/>
      <c r="F149" s="11" t="s">
        <v>41</v>
      </c>
      <c r="G149" s="15" t="s">
        <v>700</v>
      </c>
      <c r="R149" s="45"/>
      <c r="S149" s="45"/>
      <c r="V149" s="46"/>
      <c r="W149" s="46"/>
    </row>
    <row r="150" spans="5:23" x14ac:dyDescent="0.2">
      <c r="F150" s="32"/>
      <c r="G150" s="32"/>
      <c r="R150" s="45"/>
      <c r="S150" s="81"/>
      <c r="V150" s="46"/>
      <c r="W150" s="46"/>
    </row>
    <row r="151" spans="5:23" x14ac:dyDescent="0.2">
      <c r="E151" s="180"/>
      <c r="F151" s="15" t="s">
        <v>421</v>
      </c>
      <c r="G151" s="15" t="s">
        <v>701</v>
      </c>
      <c r="H151" s="197" t="s">
        <v>712</v>
      </c>
      <c r="I151" s="198"/>
      <c r="R151" s="81"/>
      <c r="S151" s="81"/>
      <c r="V151" s="45"/>
      <c r="W151" s="46"/>
    </row>
    <row r="152" spans="5:23" x14ac:dyDescent="0.2">
      <c r="E152" s="180"/>
      <c r="F152" s="15" t="s">
        <v>423</v>
      </c>
      <c r="G152" s="15" t="s">
        <v>23</v>
      </c>
      <c r="H152" s="178"/>
      <c r="R152" s="81"/>
      <c r="S152" s="81"/>
      <c r="V152" s="44"/>
      <c r="W152" s="44"/>
    </row>
    <row r="153" spans="5:23" x14ac:dyDescent="0.2">
      <c r="E153" s="180"/>
      <c r="F153" s="15" t="s">
        <v>417</v>
      </c>
      <c r="G153" s="15" t="s">
        <v>418</v>
      </c>
      <c r="R153" s="81"/>
      <c r="S153" s="81"/>
      <c r="V153" s="46"/>
      <c r="W153" s="46"/>
    </row>
    <row r="154" spans="5:23" x14ac:dyDescent="0.2">
      <c r="E154" s="180"/>
      <c r="F154" s="15" t="s">
        <v>71</v>
      </c>
      <c r="G154" s="15" t="s">
        <v>430</v>
      </c>
      <c r="R154" s="81"/>
      <c r="S154" s="81"/>
      <c r="V154" s="46"/>
      <c r="W154" s="46"/>
    </row>
    <row r="155" spans="5:23" x14ac:dyDescent="0.2">
      <c r="E155" s="180"/>
      <c r="F155" s="11" t="s">
        <v>41</v>
      </c>
      <c r="G155" s="12" t="s">
        <v>67</v>
      </c>
      <c r="R155" s="81"/>
      <c r="S155" s="81"/>
      <c r="V155" s="46"/>
      <c r="W155" s="46"/>
    </row>
    <row r="156" spans="5:23" x14ac:dyDescent="0.2">
      <c r="E156" s="180"/>
      <c r="F156" s="11" t="s">
        <v>41</v>
      </c>
      <c r="G156" s="15" t="s">
        <v>700</v>
      </c>
      <c r="R156" s="81"/>
      <c r="S156" s="81"/>
      <c r="V156" s="46"/>
      <c r="W156" s="46"/>
    </row>
    <row r="157" spans="5:23" x14ac:dyDescent="0.2">
      <c r="F157" s="30"/>
      <c r="G157" s="30"/>
      <c r="R157" s="81"/>
      <c r="S157" s="81"/>
      <c r="V157" s="45"/>
      <c r="W157" s="46"/>
    </row>
    <row r="158" spans="5:23" x14ac:dyDescent="0.2">
      <c r="E158" s="180"/>
      <c r="F158" s="15" t="s">
        <v>421</v>
      </c>
      <c r="G158" s="15" t="s">
        <v>701</v>
      </c>
      <c r="H158" s="197" t="s">
        <v>713</v>
      </c>
      <c r="I158" s="198"/>
      <c r="R158" s="81"/>
      <c r="S158" s="81"/>
      <c r="V158" s="44"/>
      <c r="W158" s="44"/>
    </row>
    <row r="159" spans="5:23" x14ac:dyDescent="0.2">
      <c r="E159" s="180"/>
      <c r="F159" s="15" t="s">
        <v>423</v>
      </c>
      <c r="G159" s="15" t="s">
        <v>23</v>
      </c>
      <c r="H159" s="178"/>
      <c r="R159" s="81"/>
      <c r="S159" s="81"/>
      <c r="V159" s="46"/>
      <c r="W159" s="46"/>
    </row>
    <row r="160" spans="5:23" x14ac:dyDescent="0.2">
      <c r="E160" s="180"/>
      <c r="F160" s="15" t="s">
        <v>427</v>
      </c>
      <c r="G160" s="15" t="s">
        <v>704</v>
      </c>
      <c r="R160" s="81"/>
      <c r="S160" s="81"/>
      <c r="V160" s="46"/>
      <c r="W160" s="46"/>
    </row>
    <row r="161" spans="5:23" x14ac:dyDescent="0.2">
      <c r="E161" s="180"/>
      <c r="F161" s="15" t="s">
        <v>70</v>
      </c>
      <c r="G161" s="15" t="s">
        <v>429</v>
      </c>
      <c r="R161" s="81"/>
      <c r="S161" s="81"/>
      <c r="V161" s="46"/>
      <c r="W161" s="46"/>
    </row>
    <row r="162" spans="5:23" x14ac:dyDescent="0.2">
      <c r="E162" s="180"/>
      <c r="F162" s="11" t="s">
        <v>41</v>
      </c>
      <c r="G162" s="12" t="s">
        <v>67</v>
      </c>
      <c r="R162" s="81"/>
      <c r="S162" s="81"/>
      <c r="V162" s="46"/>
      <c r="W162" s="46"/>
    </row>
    <row r="163" spans="5:23" x14ac:dyDescent="0.2">
      <c r="E163" s="180"/>
      <c r="F163" s="11" t="s">
        <v>41</v>
      </c>
      <c r="G163" s="15" t="s">
        <v>700</v>
      </c>
      <c r="R163" s="81"/>
      <c r="S163" s="81"/>
      <c r="V163" s="45"/>
      <c r="W163" s="46"/>
    </row>
    <row r="164" spans="5:23" x14ac:dyDescent="0.2">
      <c r="F164" s="30"/>
      <c r="G164" s="30"/>
      <c r="V164" s="44"/>
      <c r="W164" s="44"/>
    </row>
    <row r="165" spans="5:23" x14ac:dyDescent="0.2">
      <c r="E165" s="180"/>
      <c r="F165" s="15" t="s">
        <v>421</v>
      </c>
      <c r="G165" s="15" t="s">
        <v>701</v>
      </c>
      <c r="H165" s="197" t="s">
        <v>715</v>
      </c>
      <c r="I165" s="198"/>
      <c r="V165" s="46"/>
      <c r="W165" s="46"/>
    </row>
    <row r="166" spans="5:23" x14ac:dyDescent="0.2">
      <c r="E166" s="180"/>
      <c r="F166" s="15" t="s">
        <v>423</v>
      </c>
      <c r="G166" s="15" t="s">
        <v>23</v>
      </c>
      <c r="H166" s="178"/>
      <c r="V166" s="46"/>
      <c r="W166" s="46"/>
    </row>
    <row r="167" spans="5:23" x14ac:dyDescent="0.2">
      <c r="E167" s="180"/>
      <c r="F167" s="15" t="s">
        <v>427</v>
      </c>
      <c r="G167" s="15" t="s">
        <v>704</v>
      </c>
      <c r="V167" s="46"/>
      <c r="W167" s="46"/>
    </row>
    <row r="168" spans="5:23" x14ac:dyDescent="0.2">
      <c r="E168" s="180"/>
      <c r="F168" s="15" t="s">
        <v>71</v>
      </c>
      <c r="G168" s="15" t="s">
        <v>430</v>
      </c>
      <c r="V168" s="46"/>
      <c r="W168" s="46"/>
    </row>
    <row r="169" spans="5:23" x14ac:dyDescent="0.2">
      <c r="E169" s="180"/>
      <c r="F169" s="11" t="s">
        <v>41</v>
      </c>
      <c r="G169" s="12" t="s">
        <v>67</v>
      </c>
      <c r="V169" s="45"/>
      <c r="W169" s="46"/>
    </row>
    <row r="170" spans="5:23" x14ac:dyDescent="0.2">
      <c r="E170" s="180"/>
      <c r="F170" s="11" t="s">
        <v>41</v>
      </c>
      <c r="G170" s="15" t="s">
        <v>700</v>
      </c>
      <c r="V170" s="44"/>
      <c r="W170" s="44"/>
    </row>
    <row r="171" spans="5:23" x14ac:dyDescent="0.2">
      <c r="F171" s="30"/>
      <c r="G171" s="30"/>
      <c r="V171" s="46"/>
      <c r="W171" s="46"/>
    </row>
    <row r="172" spans="5:23" x14ac:dyDescent="0.2">
      <c r="E172" s="180"/>
      <c r="F172" s="15" t="s">
        <v>421</v>
      </c>
      <c r="G172" s="15" t="s">
        <v>701</v>
      </c>
      <c r="H172" s="197" t="s">
        <v>716</v>
      </c>
      <c r="I172" s="198"/>
      <c r="V172" s="46"/>
      <c r="W172" s="46"/>
    </row>
    <row r="173" spans="5:23" x14ac:dyDescent="0.2">
      <c r="E173" s="180"/>
      <c r="F173" s="15" t="s">
        <v>423</v>
      </c>
      <c r="G173" s="15" t="s">
        <v>23</v>
      </c>
      <c r="H173" s="178"/>
      <c r="V173" s="46"/>
      <c r="W173" s="46"/>
    </row>
    <row r="174" spans="5:23" x14ac:dyDescent="0.2">
      <c r="E174" s="180"/>
      <c r="F174" s="15" t="s">
        <v>70</v>
      </c>
      <c r="G174" s="15" t="s">
        <v>429</v>
      </c>
      <c r="V174" s="46"/>
      <c r="W174" s="46"/>
    </row>
    <row r="175" spans="5:23" x14ac:dyDescent="0.2">
      <c r="E175" s="180"/>
      <c r="F175" s="15" t="s">
        <v>71</v>
      </c>
      <c r="G175" s="15" t="s">
        <v>430</v>
      </c>
      <c r="V175" s="45"/>
      <c r="W175" s="46"/>
    </row>
    <row r="176" spans="5:23" x14ac:dyDescent="0.2">
      <c r="E176" s="180"/>
      <c r="F176" s="11" t="s">
        <v>41</v>
      </c>
      <c r="G176" s="12" t="s">
        <v>67</v>
      </c>
      <c r="V176" s="44"/>
      <c r="W176" s="44"/>
    </row>
    <row r="177" spans="5:23" x14ac:dyDescent="0.2">
      <c r="E177" s="180"/>
      <c r="F177" s="11" t="s">
        <v>41</v>
      </c>
      <c r="G177" s="15" t="s">
        <v>700</v>
      </c>
      <c r="V177" s="46"/>
      <c r="W177" s="46"/>
    </row>
    <row r="178" spans="5:23" x14ac:dyDescent="0.2">
      <c r="F178" s="39"/>
      <c r="G178" s="39"/>
      <c r="V178" s="46"/>
      <c r="W178" s="46"/>
    </row>
    <row r="179" spans="5:23" x14ac:dyDescent="0.2">
      <c r="F179" s="15" t="s">
        <v>421</v>
      </c>
      <c r="G179" s="15" t="s">
        <v>701</v>
      </c>
      <c r="H179" s="197" t="s">
        <v>717</v>
      </c>
      <c r="I179" s="198"/>
      <c r="V179" s="46"/>
      <c r="W179" s="46"/>
    </row>
    <row r="180" spans="5:23" x14ac:dyDescent="0.2">
      <c r="F180" s="15" t="s">
        <v>30</v>
      </c>
      <c r="G180" s="15" t="s">
        <v>424</v>
      </c>
      <c r="V180" s="46"/>
      <c r="W180" s="46"/>
    </row>
    <row r="181" spans="5:23" x14ac:dyDescent="0.2">
      <c r="F181" s="15" t="s">
        <v>417</v>
      </c>
      <c r="G181" s="15" t="s">
        <v>418</v>
      </c>
      <c r="V181" s="45"/>
      <c r="W181" s="46"/>
    </row>
    <row r="182" spans="5:23" x14ac:dyDescent="0.2">
      <c r="F182" s="15" t="s">
        <v>427</v>
      </c>
      <c r="G182" s="15" t="s">
        <v>704</v>
      </c>
      <c r="V182" s="44"/>
      <c r="W182" s="44"/>
    </row>
    <row r="183" spans="5:23" x14ac:dyDescent="0.2">
      <c r="F183" s="11" t="s">
        <v>41</v>
      </c>
      <c r="G183" s="12" t="s">
        <v>67</v>
      </c>
      <c r="V183" s="46"/>
      <c r="W183" s="46"/>
    </row>
    <row r="184" spans="5:23" x14ac:dyDescent="0.2">
      <c r="F184" s="11" t="s">
        <v>41</v>
      </c>
      <c r="G184" s="15" t="s">
        <v>700</v>
      </c>
      <c r="V184" s="46"/>
      <c r="W184" s="46"/>
    </row>
    <row r="185" spans="5:23" x14ac:dyDescent="0.2">
      <c r="F185" s="32"/>
      <c r="G185" s="32"/>
      <c r="V185" s="46"/>
      <c r="W185" s="46"/>
    </row>
    <row r="186" spans="5:23" x14ac:dyDescent="0.2">
      <c r="F186" s="15" t="s">
        <v>421</v>
      </c>
      <c r="G186" s="15" t="s">
        <v>701</v>
      </c>
      <c r="H186" s="197" t="s">
        <v>718</v>
      </c>
      <c r="I186" s="198"/>
      <c r="V186" s="46"/>
      <c r="W186" s="46"/>
    </row>
    <row r="187" spans="5:23" x14ac:dyDescent="0.2">
      <c r="F187" s="15" t="s">
        <v>30</v>
      </c>
      <c r="G187" s="15" t="s">
        <v>424</v>
      </c>
      <c r="V187" s="45"/>
      <c r="W187" s="46"/>
    </row>
    <row r="188" spans="5:23" x14ac:dyDescent="0.2">
      <c r="F188" s="15" t="s">
        <v>417</v>
      </c>
      <c r="G188" s="15" t="s">
        <v>418</v>
      </c>
      <c r="V188" s="44"/>
      <c r="W188" s="44"/>
    </row>
    <row r="189" spans="5:23" x14ac:dyDescent="0.2">
      <c r="F189" s="15" t="s">
        <v>70</v>
      </c>
      <c r="G189" s="15" t="s">
        <v>429</v>
      </c>
      <c r="V189" s="46"/>
      <c r="W189" s="46"/>
    </row>
    <row r="190" spans="5:23" x14ac:dyDescent="0.2">
      <c r="F190" s="11" t="s">
        <v>41</v>
      </c>
      <c r="G190" s="12" t="s">
        <v>67</v>
      </c>
      <c r="V190" s="46"/>
      <c r="W190" s="46"/>
    </row>
    <row r="191" spans="5:23" x14ac:dyDescent="0.2">
      <c r="F191" s="11" t="s">
        <v>41</v>
      </c>
      <c r="G191" s="15" t="s">
        <v>700</v>
      </c>
      <c r="V191" s="46"/>
      <c r="W191" s="46"/>
    </row>
    <row r="192" spans="5:23" x14ac:dyDescent="0.2">
      <c r="F192" s="32"/>
      <c r="G192" s="32"/>
      <c r="V192" s="46"/>
      <c r="W192" s="46"/>
    </row>
    <row r="193" spans="6:23" x14ac:dyDescent="0.2">
      <c r="F193" s="15" t="s">
        <v>421</v>
      </c>
      <c r="G193" s="15" t="s">
        <v>701</v>
      </c>
      <c r="H193" s="197" t="s">
        <v>719</v>
      </c>
      <c r="I193" s="198"/>
      <c r="V193" s="45"/>
      <c r="W193" s="46"/>
    </row>
    <row r="194" spans="6:23" x14ac:dyDescent="0.2">
      <c r="F194" s="15" t="s">
        <v>30</v>
      </c>
      <c r="G194" s="15" t="s">
        <v>424</v>
      </c>
      <c r="V194" s="44"/>
      <c r="W194" s="44"/>
    </row>
    <row r="195" spans="6:23" x14ac:dyDescent="0.2">
      <c r="F195" s="15" t="s">
        <v>417</v>
      </c>
      <c r="G195" s="15" t="s">
        <v>418</v>
      </c>
      <c r="V195" s="46"/>
      <c r="W195" s="46"/>
    </row>
    <row r="196" spans="6:23" x14ac:dyDescent="0.2">
      <c r="F196" s="15" t="s">
        <v>71</v>
      </c>
      <c r="G196" s="15" t="s">
        <v>430</v>
      </c>
      <c r="V196" s="46"/>
      <c r="W196" s="46"/>
    </row>
    <row r="197" spans="6:23" x14ac:dyDescent="0.2">
      <c r="F197" s="11" t="s">
        <v>41</v>
      </c>
      <c r="G197" s="12" t="s">
        <v>67</v>
      </c>
      <c r="V197" s="46"/>
      <c r="W197" s="46"/>
    </row>
    <row r="198" spans="6:23" x14ac:dyDescent="0.2">
      <c r="F198" s="11" t="s">
        <v>41</v>
      </c>
      <c r="G198" s="15" t="s">
        <v>700</v>
      </c>
      <c r="V198" s="46"/>
      <c r="W198" s="46"/>
    </row>
    <row r="199" spans="6:23" x14ac:dyDescent="0.2">
      <c r="F199" s="30"/>
      <c r="G199" s="30"/>
      <c r="V199" s="45"/>
      <c r="W199" s="44"/>
    </row>
    <row r="200" spans="6:23" x14ac:dyDescent="0.2">
      <c r="F200" s="15" t="s">
        <v>421</v>
      </c>
      <c r="G200" s="15" t="s">
        <v>701</v>
      </c>
      <c r="H200" s="197" t="s">
        <v>720</v>
      </c>
      <c r="I200" s="198"/>
      <c r="V200" s="44"/>
      <c r="W200" s="44"/>
    </row>
    <row r="201" spans="6:23" x14ac:dyDescent="0.2">
      <c r="F201" s="15" t="s">
        <v>30</v>
      </c>
      <c r="G201" s="15" t="s">
        <v>424</v>
      </c>
      <c r="V201" s="46"/>
      <c r="W201" s="46"/>
    </row>
    <row r="202" spans="6:23" x14ac:dyDescent="0.2">
      <c r="F202" s="15" t="s">
        <v>427</v>
      </c>
      <c r="G202" s="15" t="s">
        <v>704</v>
      </c>
      <c r="V202" s="46"/>
      <c r="W202" s="46"/>
    </row>
    <row r="203" spans="6:23" x14ac:dyDescent="0.2">
      <c r="F203" s="15" t="s">
        <v>70</v>
      </c>
      <c r="G203" s="15" t="s">
        <v>429</v>
      </c>
      <c r="V203" s="46"/>
      <c r="W203" s="46"/>
    </row>
    <row r="204" spans="6:23" x14ac:dyDescent="0.2">
      <c r="F204" s="11" t="s">
        <v>41</v>
      </c>
      <c r="G204" s="12" t="s">
        <v>67</v>
      </c>
      <c r="V204" s="46"/>
      <c r="W204" s="46"/>
    </row>
    <row r="205" spans="6:23" x14ac:dyDescent="0.2">
      <c r="F205" s="11" t="s">
        <v>41</v>
      </c>
      <c r="G205" s="15" t="s">
        <v>700</v>
      </c>
      <c r="V205" s="45"/>
      <c r="W205" s="44"/>
    </row>
    <row r="206" spans="6:23" x14ac:dyDescent="0.2">
      <c r="F206" s="30"/>
      <c r="G206" s="30"/>
      <c r="V206" s="44"/>
      <c r="W206" s="44"/>
    </row>
    <row r="207" spans="6:23" x14ac:dyDescent="0.2">
      <c r="F207" s="15" t="s">
        <v>421</v>
      </c>
      <c r="G207" s="15" t="s">
        <v>701</v>
      </c>
      <c r="H207" s="197" t="s">
        <v>721</v>
      </c>
      <c r="I207" s="198"/>
      <c r="V207" s="46"/>
      <c r="W207" s="46"/>
    </row>
    <row r="208" spans="6:23" x14ac:dyDescent="0.2">
      <c r="F208" s="15" t="s">
        <v>30</v>
      </c>
      <c r="G208" s="15" t="s">
        <v>424</v>
      </c>
      <c r="V208" s="46"/>
      <c r="W208" s="46"/>
    </row>
    <row r="209" spans="6:23" x14ac:dyDescent="0.2">
      <c r="F209" s="15" t="s">
        <v>427</v>
      </c>
      <c r="G209" s="15" t="s">
        <v>704</v>
      </c>
      <c r="V209" s="46"/>
      <c r="W209" s="46"/>
    </row>
    <row r="210" spans="6:23" x14ac:dyDescent="0.2">
      <c r="F210" s="15" t="s">
        <v>71</v>
      </c>
      <c r="G210" s="15" t="s">
        <v>430</v>
      </c>
      <c r="V210" s="46"/>
      <c r="W210" s="46"/>
    </row>
    <row r="211" spans="6:23" x14ac:dyDescent="0.2">
      <c r="F211" s="11" t="s">
        <v>41</v>
      </c>
      <c r="G211" s="12" t="s">
        <v>67</v>
      </c>
      <c r="V211" s="45"/>
      <c r="W211" s="44"/>
    </row>
    <row r="212" spans="6:23" x14ac:dyDescent="0.2">
      <c r="F212" s="11" t="s">
        <v>41</v>
      </c>
      <c r="G212" s="15" t="s">
        <v>700</v>
      </c>
      <c r="V212" s="44"/>
      <c r="W212" s="44"/>
    </row>
    <row r="213" spans="6:23" x14ac:dyDescent="0.2">
      <c r="F213" s="30"/>
      <c r="G213" s="30"/>
      <c r="V213" s="46"/>
      <c r="W213" s="46"/>
    </row>
    <row r="214" spans="6:23" x14ac:dyDescent="0.2">
      <c r="F214" s="15" t="s">
        <v>421</v>
      </c>
      <c r="G214" s="15" t="s">
        <v>701</v>
      </c>
      <c r="H214" s="197" t="s">
        <v>714</v>
      </c>
      <c r="I214" s="198"/>
      <c r="V214" s="46"/>
      <c r="W214" s="46"/>
    </row>
    <row r="215" spans="6:23" x14ac:dyDescent="0.2">
      <c r="F215" s="15" t="s">
        <v>30</v>
      </c>
      <c r="G215" s="15" t="s">
        <v>424</v>
      </c>
      <c r="V215" s="46"/>
      <c r="W215" s="46"/>
    </row>
    <row r="216" spans="6:23" x14ac:dyDescent="0.2">
      <c r="F216" s="15" t="s">
        <v>70</v>
      </c>
      <c r="G216" s="15" t="s">
        <v>429</v>
      </c>
      <c r="V216" s="46"/>
      <c r="W216" s="46"/>
    </row>
    <row r="217" spans="6:23" x14ac:dyDescent="0.2">
      <c r="F217" s="15" t="s">
        <v>71</v>
      </c>
      <c r="G217" s="15" t="s">
        <v>430</v>
      </c>
      <c r="V217" s="45"/>
      <c r="W217" s="44"/>
    </row>
    <row r="218" spans="6:23" x14ac:dyDescent="0.2">
      <c r="F218" s="11" t="s">
        <v>41</v>
      </c>
      <c r="G218" s="12" t="s">
        <v>67</v>
      </c>
      <c r="V218" s="44"/>
      <c r="W218" s="44"/>
    </row>
    <row r="219" spans="6:23" x14ac:dyDescent="0.2">
      <c r="F219" s="11" t="s">
        <v>41</v>
      </c>
      <c r="G219" s="15" t="s">
        <v>700</v>
      </c>
      <c r="V219" s="46"/>
      <c r="W219" s="46"/>
    </row>
    <row r="220" spans="6:23" x14ac:dyDescent="0.2">
      <c r="V220" s="46"/>
      <c r="W220" s="46"/>
    </row>
    <row r="221" spans="6:23" x14ac:dyDescent="0.2">
      <c r="V221" s="46"/>
      <c r="W221" s="46"/>
    </row>
    <row r="222" spans="6:23" x14ac:dyDescent="0.2">
      <c r="V222" s="46"/>
      <c r="W222" s="46"/>
    </row>
    <row r="223" spans="6:23" x14ac:dyDescent="0.2">
      <c r="V223" s="45"/>
      <c r="W223" s="44"/>
    </row>
    <row r="224" spans="6:23" x14ac:dyDescent="0.2">
      <c r="V224" s="44"/>
      <c r="W224" s="44"/>
    </row>
    <row r="225" spans="22:23" x14ac:dyDescent="0.2">
      <c r="V225" s="46"/>
      <c r="W225" s="46"/>
    </row>
    <row r="226" spans="22:23" x14ac:dyDescent="0.2">
      <c r="V226" s="46"/>
      <c r="W226" s="46"/>
    </row>
    <row r="227" spans="22:23" x14ac:dyDescent="0.2">
      <c r="V227" s="46"/>
      <c r="W227" s="46"/>
    </row>
    <row r="228" spans="22:23" x14ac:dyDescent="0.2">
      <c r="V228" s="46"/>
      <c r="W228" s="46"/>
    </row>
    <row r="229" spans="22:23" x14ac:dyDescent="0.2">
      <c r="V229" s="45"/>
      <c r="W229" s="44"/>
    </row>
    <row r="230" spans="22:23" x14ac:dyDescent="0.2">
      <c r="V230" s="79"/>
      <c r="W230" s="46"/>
    </row>
    <row r="231" spans="22:23" x14ac:dyDescent="0.2">
      <c r="V231" s="79"/>
      <c r="W231" s="46"/>
    </row>
    <row r="232" spans="22:23" x14ac:dyDescent="0.2">
      <c r="V232" s="79"/>
      <c r="W232" s="46"/>
    </row>
    <row r="233" spans="22:23" x14ac:dyDescent="0.2">
      <c r="V233" s="79"/>
      <c r="W233" s="46"/>
    </row>
    <row r="234" spans="22:23" x14ac:dyDescent="0.2">
      <c r="V234" s="79"/>
      <c r="W234" s="46"/>
    </row>
    <row r="235" spans="22:23" x14ac:dyDescent="0.2">
      <c r="V235" s="79"/>
      <c r="W235" s="46"/>
    </row>
    <row r="236" spans="22:23" x14ac:dyDescent="0.2">
      <c r="V236" s="79"/>
      <c r="W236" s="46"/>
    </row>
    <row r="237" spans="22:23" x14ac:dyDescent="0.2">
      <c r="V237" s="79"/>
      <c r="W237" s="46"/>
    </row>
    <row r="238" spans="22:23" x14ac:dyDescent="0.2">
      <c r="V238" s="79"/>
      <c r="W238" s="46"/>
    </row>
    <row r="239" spans="22:23" x14ac:dyDescent="0.2">
      <c r="V239" s="79"/>
      <c r="W239" s="46"/>
    </row>
    <row r="240" spans="22:23" x14ac:dyDescent="0.2">
      <c r="V240" s="79"/>
      <c r="W240" s="46"/>
    </row>
    <row r="241" spans="22:23" x14ac:dyDescent="0.2">
      <c r="V241" s="79"/>
      <c r="W241" s="46"/>
    </row>
    <row r="242" spans="22:23" x14ac:dyDescent="0.2">
      <c r="V242" s="79"/>
      <c r="W242" s="46"/>
    </row>
    <row r="243" spans="22:23" x14ac:dyDescent="0.2">
      <c r="V243" s="79"/>
      <c r="W243" s="46"/>
    </row>
    <row r="244" spans="22:23" x14ac:dyDescent="0.2">
      <c r="V244" s="79"/>
      <c r="W244" s="46"/>
    </row>
  </sheetData>
  <mergeCells count="54">
    <mergeCell ref="R65:S70"/>
    <mergeCell ref="H151:I151"/>
    <mergeCell ref="H158:I158"/>
    <mergeCell ref="H123:I123"/>
    <mergeCell ref="H130:I130"/>
    <mergeCell ref="H137:I137"/>
    <mergeCell ref="H144:I144"/>
    <mergeCell ref="H102:I102"/>
    <mergeCell ref="H109:I109"/>
    <mergeCell ref="H116:I116"/>
    <mergeCell ref="H75:I75"/>
    <mergeCell ref="H77:I77"/>
    <mergeCell ref="H78:I78"/>
    <mergeCell ref="H95:I95"/>
    <mergeCell ref="A31:A33"/>
    <mergeCell ref="J16:L16"/>
    <mergeCell ref="J18:J20"/>
    <mergeCell ref="A18:A20"/>
    <mergeCell ref="A22:A24"/>
    <mergeCell ref="A25:A27"/>
    <mergeCell ref="A28:A30"/>
    <mergeCell ref="F16:H16"/>
    <mergeCell ref="F21:F23"/>
    <mergeCell ref="F24:F26"/>
    <mergeCell ref="F27:F29"/>
    <mergeCell ref="N18:N20"/>
    <mergeCell ref="A15:C15"/>
    <mergeCell ref="N16:P16"/>
    <mergeCell ref="J15:L15"/>
    <mergeCell ref="N15:P15"/>
    <mergeCell ref="F15:H15"/>
    <mergeCell ref="F18:F20"/>
    <mergeCell ref="Z15:AB15"/>
    <mergeCell ref="Z16:AB16"/>
    <mergeCell ref="Z18:Z20"/>
    <mergeCell ref="R15:T15"/>
    <mergeCell ref="V15:X15"/>
    <mergeCell ref="R16:T16"/>
    <mergeCell ref="R18:R20"/>
    <mergeCell ref="V16:X16"/>
    <mergeCell ref="V18:V20"/>
    <mergeCell ref="P23:Q23"/>
    <mergeCell ref="H32:I32"/>
    <mergeCell ref="H53:I53"/>
    <mergeCell ref="H55:I55"/>
    <mergeCell ref="P43:Q43"/>
    <mergeCell ref="H214:I214"/>
    <mergeCell ref="H165:I165"/>
    <mergeCell ref="H172:I172"/>
    <mergeCell ref="H179:I179"/>
    <mergeCell ref="H186:I186"/>
    <mergeCell ref="H193:I193"/>
    <mergeCell ref="H200:I200"/>
    <mergeCell ref="H207:I207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opLeftCell="A16" workbookViewId="0">
      <selection activeCell="T34" sqref="T34"/>
    </sheetView>
  </sheetViews>
  <sheetFormatPr defaultRowHeight="12.75" x14ac:dyDescent="0.2"/>
  <sheetData>
    <row r="1" spans="1:26" x14ac:dyDescent="0.2">
      <c r="E1" s="3"/>
      <c r="F1" s="1"/>
      <c r="G1" s="1"/>
      <c r="H1" s="1"/>
      <c r="I1" s="1"/>
      <c r="J1" s="1"/>
      <c r="K1" s="1"/>
      <c r="L1" s="2"/>
      <c r="M1" s="14"/>
      <c r="N1" s="14"/>
      <c r="O1" s="14"/>
      <c r="P1" s="14"/>
      <c r="Q1" s="31"/>
      <c r="R1" s="2"/>
      <c r="S1" s="2"/>
      <c r="Y1" s="14"/>
    </row>
    <row r="2" spans="1:26" x14ac:dyDescent="0.2">
      <c r="A2" s="9"/>
      <c r="B2" s="10">
        <v>11.63</v>
      </c>
      <c r="C2" s="10">
        <v>20.96</v>
      </c>
      <c r="D2" s="10">
        <v>29.58</v>
      </c>
      <c r="E2" s="11">
        <v>37.68</v>
      </c>
      <c r="F2" s="12" t="s">
        <v>467</v>
      </c>
      <c r="G2" s="12" t="s">
        <v>466</v>
      </c>
      <c r="H2" s="12">
        <v>58.15</v>
      </c>
      <c r="I2" s="12">
        <v>67.290000000000006</v>
      </c>
      <c r="J2" s="1"/>
      <c r="K2" s="1"/>
      <c r="L2" s="2"/>
      <c r="M2" s="14"/>
      <c r="N2" s="14"/>
      <c r="O2" s="14"/>
      <c r="P2" s="14"/>
      <c r="Q2" s="31"/>
      <c r="R2" s="2"/>
      <c r="S2" s="2"/>
      <c r="Y2" s="14"/>
    </row>
    <row r="3" spans="1:26" x14ac:dyDescent="0.2">
      <c r="A3" s="19" t="s">
        <v>0</v>
      </c>
      <c r="B3" s="33">
        <f t="shared" ref="B3:I3" si="0">58.15/B2</f>
        <v>4.9999999999999991</v>
      </c>
      <c r="C3" s="33">
        <f t="shared" si="0"/>
        <v>2.7743320610687019</v>
      </c>
      <c r="D3" s="33">
        <f t="shared" si="0"/>
        <v>1.9658553076402976</v>
      </c>
      <c r="E3" s="33">
        <f t="shared" si="0"/>
        <v>1.5432590233545647</v>
      </c>
      <c r="F3" s="33">
        <f t="shared" si="0"/>
        <v>1.3191923774954628</v>
      </c>
      <c r="G3" s="33">
        <f t="shared" si="0"/>
        <v>1.1442345533254623</v>
      </c>
      <c r="H3" s="34">
        <f t="shared" si="0"/>
        <v>1</v>
      </c>
      <c r="I3" s="33">
        <f t="shared" si="0"/>
        <v>0.86417001040273433</v>
      </c>
      <c r="J3" s="1" t="s">
        <v>540</v>
      </c>
      <c r="K3" s="12">
        <f>B3/I3</f>
        <v>5.7858985382631118</v>
      </c>
      <c r="L3" s="2"/>
      <c r="M3" s="14"/>
      <c r="N3" s="14"/>
      <c r="O3" s="14"/>
      <c r="P3" s="14"/>
      <c r="Q3" s="31"/>
      <c r="R3" s="2"/>
      <c r="S3" s="2"/>
      <c r="Y3" s="14"/>
    </row>
    <row r="4" spans="1:26" x14ac:dyDescent="0.2">
      <c r="A4" s="19" t="s">
        <v>1</v>
      </c>
      <c r="B4" s="33"/>
      <c r="C4" s="33">
        <f t="shared" ref="C4:I4" si="1">B3/C3</f>
        <v>1.8022355975924333</v>
      </c>
      <c r="D4" s="33">
        <f t="shared" si="1"/>
        <v>1.4112595419847325</v>
      </c>
      <c r="E4" s="35">
        <f t="shared" si="1"/>
        <v>1.2738336713995944</v>
      </c>
      <c r="F4" s="36">
        <f t="shared" si="1"/>
        <v>1.1698513800424628</v>
      </c>
      <c r="G4" s="36">
        <f t="shared" si="1"/>
        <v>1.1529038112522687</v>
      </c>
      <c r="H4" s="36">
        <f t="shared" si="1"/>
        <v>1.1442345533254623</v>
      </c>
      <c r="I4" s="36">
        <f t="shared" si="1"/>
        <v>1.1571797076526227</v>
      </c>
      <c r="J4" s="1"/>
      <c r="K4" s="1"/>
      <c r="L4" s="2"/>
      <c r="M4" s="14"/>
      <c r="N4" s="14"/>
      <c r="O4" s="14"/>
      <c r="P4" s="14"/>
      <c r="Q4" s="31"/>
      <c r="R4" s="2"/>
      <c r="S4" s="2"/>
      <c r="T4" s="44"/>
      <c r="U4" s="44"/>
      <c r="Y4" s="14"/>
    </row>
    <row r="5" spans="1:26" x14ac:dyDescent="0.2">
      <c r="A5" s="9"/>
      <c r="B5" s="9">
        <f t="shared" ref="B5:I5" si="2">100/B3</f>
        <v>20.000000000000004</v>
      </c>
      <c r="C5" s="9">
        <f t="shared" si="2"/>
        <v>36.044711951848676</v>
      </c>
      <c r="D5" s="9">
        <f t="shared" si="2"/>
        <v>50.868443680137574</v>
      </c>
      <c r="E5" s="13">
        <f t="shared" si="2"/>
        <v>64.797936371453147</v>
      </c>
      <c r="F5" s="7">
        <f t="shared" si="2"/>
        <v>75.803955288048144</v>
      </c>
      <c r="G5" s="7">
        <f t="shared" si="2"/>
        <v>87.394668959587278</v>
      </c>
      <c r="H5" s="7">
        <f t="shared" si="2"/>
        <v>100</v>
      </c>
      <c r="I5" s="7">
        <f t="shared" si="2"/>
        <v>115.71797076526227</v>
      </c>
      <c r="J5" s="1"/>
      <c r="K5" s="1"/>
      <c r="L5" s="2"/>
      <c r="M5" s="14"/>
      <c r="N5" s="14"/>
      <c r="O5" s="14"/>
      <c r="P5" s="14"/>
      <c r="Q5" s="31"/>
      <c r="R5" s="2"/>
      <c r="S5" s="2"/>
      <c r="T5" s="44"/>
      <c r="U5" s="44"/>
      <c r="Y5" s="14"/>
    </row>
    <row r="6" spans="1:26" x14ac:dyDescent="0.2">
      <c r="B6">
        <f>1/B3</f>
        <v>0.20000000000000004</v>
      </c>
      <c r="C6">
        <f t="shared" ref="C6:I6" si="3">1/C3</f>
        <v>0.36044711951848674</v>
      </c>
      <c r="D6">
        <f t="shared" si="3"/>
        <v>0.50868443680137576</v>
      </c>
      <c r="E6">
        <f t="shared" si="3"/>
        <v>0.64797936371453146</v>
      </c>
      <c r="F6">
        <f t="shared" si="3"/>
        <v>0.75803955288048153</v>
      </c>
      <c r="G6">
        <f t="shared" si="3"/>
        <v>0.87394668959587285</v>
      </c>
      <c r="H6">
        <f t="shared" si="3"/>
        <v>1</v>
      </c>
      <c r="I6">
        <f t="shared" si="3"/>
        <v>1.1571797076526227</v>
      </c>
      <c r="J6" s="3"/>
      <c r="K6" s="1"/>
      <c r="L6" s="1"/>
      <c r="M6" s="1"/>
      <c r="N6" s="1"/>
      <c r="O6" s="1"/>
      <c r="P6" s="1"/>
      <c r="Q6" s="2"/>
      <c r="R6" s="14"/>
      <c r="S6" s="14"/>
      <c r="T6" s="14"/>
      <c r="U6" s="14"/>
      <c r="V6" s="31"/>
      <c r="W6" s="2"/>
      <c r="X6" s="2"/>
      <c r="Y6" s="44"/>
      <c r="Z6" s="44"/>
    </row>
    <row r="7" spans="1:26" x14ac:dyDescent="0.2">
      <c r="A7" s="188" t="s">
        <v>60</v>
      </c>
      <c r="B7" s="188"/>
      <c r="C7" s="188"/>
      <c r="D7" s="27"/>
      <c r="E7" s="39"/>
      <c r="F7" s="191" t="s">
        <v>97</v>
      </c>
      <c r="G7" s="192"/>
      <c r="H7" s="192"/>
      <c r="I7" s="39"/>
      <c r="J7" s="189" t="s">
        <v>98</v>
      </c>
      <c r="K7" s="189"/>
      <c r="L7" s="189"/>
      <c r="M7" s="14"/>
      <c r="N7" s="189" t="s">
        <v>99</v>
      </c>
      <c r="O7" s="189"/>
      <c r="P7" s="189"/>
      <c r="Q7" s="80"/>
    </row>
    <row r="8" spans="1:26" x14ac:dyDescent="0.2">
      <c r="D8" s="27"/>
      <c r="E8" s="39"/>
      <c r="F8" s="194" t="s">
        <v>68</v>
      </c>
      <c r="G8" s="195"/>
      <c r="H8" s="195"/>
      <c r="I8" s="39"/>
      <c r="J8" s="185" t="s">
        <v>426</v>
      </c>
      <c r="K8" s="185"/>
      <c r="L8" s="185"/>
      <c r="M8" s="14"/>
      <c r="N8" s="190" t="s">
        <v>445</v>
      </c>
      <c r="O8" s="190"/>
      <c r="P8" s="190"/>
      <c r="Q8" s="80"/>
    </row>
    <row r="9" spans="1:26" x14ac:dyDescent="0.2">
      <c r="A9" s="7" t="s">
        <v>2</v>
      </c>
      <c r="B9" s="8" t="s">
        <v>3</v>
      </c>
      <c r="C9" s="20" t="s">
        <v>0</v>
      </c>
      <c r="D9" s="27"/>
      <c r="E9" s="39"/>
      <c r="F9" s="41" t="s">
        <v>2</v>
      </c>
      <c r="G9" s="41" t="s">
        <v>3</v>
      </c>
      <c r="H9" s="42" t="s">
        <v>0</v>
      </c>
      <c r="I9" s="39"/>
      <c r="J9" s="22" t="s">
        <v>2</v>
      </c>
      <c r="K9" s="22" t="s">
        <v>3</v>
      </c>
      <c r="L9" s="23" t="s">
        <v>0</v>
      </c>
      <c r="M9" s="14"/>
      <c r="N9" s="22" t="s">
        <v>2</v>
      </c>
      <c r="O9" s="22" t="s">
        <v>3</v>
      </c>
      <c r="P9" s="23" t="s">
        <v>0</v>
      </c>
    </row>
    <row r="10" spans="1:26" x14ac:dyDescent="0.2">
      <c r="A10" s="187" t="s">
        <v>4</v>
      </c>
      <c r="B10" s="18" t="s">
        <v>417</v>
      </c>
      <c r="C10" s="18" t="s">
        <v>455</v>
      </c>
      <c r="D10" s="28"/>
      <c r="E10" s="44"/>
      <c r="F10" s="187" t="s">
        <v>4</v>
      </c>
      <c r="G10" s="18" t="s">
        <v>417</v>
      </c>
      <c r="H10" s="18" t="s">
        <v>455</v>
      </c>
      <c r="I10" s="44"/>
      <c r="J10" s="187" t="s">
        <v>54</v>
      </c>
      <c r="K10" s="29" t="s">
        <v>433</v>
      </c>
      <c r="L10" s="29" t="s">
        <v>476</v>
      </c>
      <c r="M10" s="14"/>
      <c r="N10" s="187" t="s">
        <v>39</v>
      </c>
      <c r="O10" s="29" t="s">
        <v>35</v>
      </c>
      <c r="P10" s="29" t="s">
        <v>957</v>
      </c>
    </row>
    <row r="11" spans="1:26" x14ac:dyDescent="0.2">
      <c r="A11" s="187"/>
      <c r="B11" s="5"/>
      <c r="C11" s="5"/>
      <c r="D11" s="28"/>
      <c r="E11" s="44"/>
      <c r="F11" s="187"/>
      <c r="G11" s="5"/>
      <c r="H11" s="5"/>
      <c r="I11" s="44"/>
      <c r="J11" s="187"/>
      <c r="K11" s="4"/>
      <c r="L11" s="4"/>
      <c r="M11" s="14"/>
      <c r="N11" s="187"/>
      <c r="O11" s="4"/>
      <c r="P11" s="4"/>
    </row>
    <row r="12" spans="1:26" x14ac:dyDescent="0.2">
      <c r="A12" s="187"/>
      <c r="B12" s="5"/>
      <c r="C12" s="5"/>
      <c r="D12" s="28"/>
      <c r="E12" s="44"/>
      <c r="F12" s="187"/>
      <c r="G12" s="5"/>
      <c r="H12" s="5"/>
      <c r="I12" s="44"/>
      <c r="J12" s="187"/>
      <c r="K12" s="4"/>
      <c r="L12" s="4"/>
      <c r="M12" s="14"/>
      <c r="N12" s="187"/>
      <c r="O12" s="4"/>
      <c r="P12" s="4"/>
    </row>
    <row r="13" spans="1:26" x14ac:dyDescent="0.2">
      <c r="A13" s="6" t="s">
        <v>41</v>
      </c>
      <c r="B13" s="208" t="s">
        <v>700</v>
      </c>
      <c r="C13" s="209"/>
      <c r="D13" s="28"/>
      <c r="E13" s="44"/>
      <c r="F13" s="187" t="s">
        <v>69</v>
      </c>
      <c r="G13" s="18" t="s">
        <v>427</v>
      </c>
      <c r="H13" s="18" t="s">
        <v>472</v>
      </c>
      <c r="I13" s="44"/>
      <c r="J13" s="6" t="s">
        <v>41</v>
      </c>
      <c r="K13" s="206" t="s">
        <v>437</v>
      </c>
      <c r="L13" s="207"/>
      <c r="M13" s="14"/>
      <c r="N13" s="6" t="s">
        <v>41</v>
      </c>
      <c r="O13" s="206" t="s">
        <v>86</v>
      </c>
      <c r="P13" s="207"/>
    </row>
    <row r="14" spans="1:26" x14ac:dyDescent="0.2">
      <c r="A14" s="184" t="s">
        <v>10</v>
      </c>
      <c r="B14" s="18" t="s">
        <v>180</v>
      </c>
      <c r="C14" s="18" t="s">
        <v>454</v>
      </c>
      <c r="D14" s="27"/>
      <c r="E14" s="39"/>
      <c r="F14" s="187"/>
      <c r="G14" s="5"/>
      <c r="H14" s="5"/>
      <c r="I14" s="39"/>
      <c r="J14" s="3"/>
      <c r="K14" s="1"/>
      <c r="L14" s="1"/>
      <c r="M14" s="1"/>
      <c r="P14" s="45"/>
      <c r="Q14" s="2"/>
      <c r="R14" s="14"/>
      <c r="S14" s="14"/>
      <c r="T14" s="14"/>
      <c r="U14" s="14"/>
      <c r="V14" s="46"/>
      <c r="W14" s="46"/>
      <c r="X14" s="2"/>
    </row>
    <row r="15" spans="1:26" x14ac:dyDescent="0.2">
      <c r="A15" s="184"/>
      <c r="B15" s="8"/>
      <c r="C15" s="8"/>
      <c r="D15" s="27"/>
      <c r="E15" s="39"/>
      <c r="F15" s="187"/>
      <c r="G15" s="5"/>
      <c r="H15" s="5"/>
      <c r="I15" s="39"/>
      <c r="J15" s="25" t="s">
        <v>417</v>
      </c>
      <c r="K15" s="25" t="s">
        <v>455</v>
      </c>
      <c r="L15" s="77"/>
      <c r="M15" s="1"/>
      <c r="N15" s="15" t="s">
        <v>417</v>
      </c>
      <c r="O15" s="15" t="s">
        <v>455</v>
      </c>
      <c r="P15" s="197" t="s">
        <v>509</v>
      </c>
      <c r="Q15" s="198"/>
      <c r="R15" s="14"/>
      <c r="S15" s="14"/>
      <c r="T15" s="14"/>
      <c r="U15" s="14"/>
      <c r="X15" s="2"/>
    </row>
    <row r="16" spans="1:26" x14ac:dyDescent="0.2">
      <c r="A16" s="184"/>
      <c r="B16" s="8"/>
      <c r="C16" s="8"/>
      <c r="D16" s="27"/>
      <c r="E16" s="39"/>
      <c r="F16" s="187" t="s">
        <v>70</v>
      </c>
      <c r="G16" s="25" t="s">
        <v>70</v>
      </c>
      <c r="H16" s="25" t="s">
        <v>473</v>
      </c>
      <c r="I16" s="39"/>
      <c r="J16" s="26" t="s">
        <v>433</v>
      </c>
      <c r="K16" s="26" t="s">
        <v>476</v>
      </c>
      <c r="L16" s="77"/>
      <c r="M16" s="1"/>
      <c r="N16" s="12" t="s">
        <v>35</v>
      </c>
      <c r="O16" s="12" t="s">
        <v>957</v>
      </c>
      <c r="P16" s="45"/>
      <c r="Q16" s="2"/>
      <c r="R16" s="14"/>
      <c r="S16" s="14"/>
      <c r="T16" s="14"/>
      <c r="U16" s="14"/>
      <c r="X16" s="2"/>
    </row>
    <row r="17" spans="1:24" x14ac:dyDescent="0.2">
      <c r="A17" s="184" t="s">
        <v>15</v>
      </c>
      <c r="B17" s="18" t="s">
        <v>446</v>
      </c>
      <c r="C17" s="18" t="s">
        <v>469</v>
      </c>
      <c r="D17" s="27"/>
      <c r="E17" s="39"/>
      <c r="F17" s="187"/>
      <c r="G17" s="5"/>
      <c r="H17" s="5"/>
      <c r="I17" s="39"/>
      <c r="J17" s="25" t="s">
        <v>180</v>
      </c>
      <c r="K17" s="25" t="s">
        <v>468</v>
      </c>
      <c r="L17" s="77"/>
      <c r="M17" s="1"/>
      <c r="N17" s="15" t="s">
        <v>180</v>
      </c>
      <c r="O17" s="15" t="s">
        <v>468</v>
      </c>
      <c r="P17" s="1"/>
      <c r="Q17" s="2"/>
      <c r="R17" s="81"/>
      <c r="S17" s="81"/>
      <c r="T17" s="14"/>
      <c r="U17" s="14"/>
      <c r="X17" s="2"/>
    </row>
    <row r="18" spans="1:24" x14ac:dyDescent="0.2">
      <c r="A18" s="184"/>
      <c r="B18" s="8"/>
      <c r="C18" s="8"/>
      <c r="D18" s="27"/>
      <c r="E18" s="39"/>
      <c r="F18" s="187"/>
      <c r="G18" s="5"/>
      <c r="H18" s="5"/>
      <c r="I18" s="39"/>
      <c r="J18" s="25" t="s">
        <v>446</v>
      </c>
      <c r="K18" s="25" t="s">
        <v>469</v>
      </c>
      <c r="L18" s="77"/>
      <c r="M18" s="1"/>
      <c r="N18" s="15" t="s">
        <v>446</v>
      </c>
      <c r="O18" s="15" t="s">
        <v>469</v>
      </c>
      <c r="P18" s="1"/>
      <c r="Q18" s="2"/>
      <c r="R18" s="46"/>
      <c r="S18" s="46"/>
      <c r="T18" s="14"/>
      <c r="U18" s="14"/>
      <c r="X18" s="2"/>
    </row>
    <row r="19" spans="1:24" x14ac:dyDescent="0.2">
      <c r="A19" s="184"/>
      <c r="B19" s="8"/>
      <c r="C19" s="8"/>
      <c r="D19" s="27"/>
      <c r="E19" s="39"/>
      <c r="F19" s="187" t="s">
        <v>72</v>
      </c>
      <c r="G19" s="18" t="s">
        <v>71</v>
      </c>
      <c r="H19" s="18" t="s">
        <v>474</v>
      </c>
      <c r="I19" s="39"/>
      <c r="J19" s="83" t="s">
        <v>41</v>
      </c>
      <c r="K19" s="57">
        <v>185</v>
      </c>
      <c r="L19" s="77"/>
      <c r="M19" s="1"/>
      <c r="N19" s="11" t="s">
        <v>41</v>
      </c>
      <c r="O19" s="15" t="s">
        <v>700</v>
      </c>
      <c r="P19" s="1"/>
      <c r="Q19" s="2"/>
      <c r="R19" s="46"/>
      <c r="S19" s="46"/>
      <c r="T19" s="14"/>
      <c r="U19" s="14"/>
      <c r="X19" s="2"/>
    </row>
    <row r="20" spans="1:24" x14ac:dyDescent="0.2">
      <c r="A20" s="184" t="s">
        <v>22</v>
      </c>
      <c r="B20" s="25" t="s">
        <v>447</v>
      </c>
      <c r="C20" s="25" t="s">
        <v>470</v>
      </c>
      <c r="D20" s="27"/>
      <c r="E20" s="39"/>
      <c r="F20" s="187"/>
      <c r="G20" s="5"/>
      <c r="H20" s="5"/>
      <c r="I20" s="39"/>
      <c r="J20" s="83" t="s">
        <v>41</v>
      </c>
      <c r="K20" s="57">
        <v>579</v>
      </c>
      <c r="L20" s="77"/>
      <c r="M20" s="1"/>
      <c r="N20" s="11" t="s">
        <v>41</v>
      </c>
      <c r="O20" s="48">
        <v>479</v>
      </c>
      <c r="P20" s="1"/>
      <c r="Q20" s="2"/>
      <c r="R20" s="45"/>
      <c r="S20" s="45"/>
      <c r="T20" s="14"/>
      <c r="U20" s="14"/>
      <c r="X20" s="2"/>
    </row>
    <row r="21" spans="1:24" x14ac:dyDescent="0.2">
      <c r="A21" s="184"/>
      <c r="B21" s="8"/>
      <c r="C21" s="8"/>
      <c r="D21" s="27"/>
      <c r="E21" s="39"/>
      <c r="F21" s="187"/>
      <c r="G21" s="5"/>
      <c r="H21" s="5"/>
      <c r="I21" s="39"/>
      <c r="J21" s="78"/>
      <c r="K21" s="45"/>
      <c r="L21" s="77"/>
      <c r="M21" s="1"/>
      <c r="N21" s="78"/>
      <c r="O21" s="45"/>
      <c r="P21" s="1"/>
      <c r="Q21" s="2"/>
      <c r="R21" s="45"/>
      <c r="S21" s="45"/>
      <c r="T21" s="14"/>
      <c r="U21" s="14"/>
      <c r="X21" s="2"/>
    </row>
    <row r="22" spans="1:24" x14ac:dyDescent="0.2">
      <c r="A22" s="184"/>
      <c r="B22" s="8"/>
      <c r="C22" s="8"/>
      <c r="D22" s="27"/>
      <c r="E22" s="39"/>
      <c r="F22" s="6" t="s">
        <v>41</v>
      </c>
      <c r="G22" s="206" t="s">
        <v>67</v>
      </c>
      <c r="H22" s="207"/>
      <c r="I22" s="39"/>
      <c r="J22" s="25" t="s">
        <v>417</v>
      </c>
      <c r="K22" s="25" t="s">
        <v>455</v>
      </c>
      <c r="L22" s="77"/>
      <c r="M22" s="1"/>
      <c r="N22" s="25" t="s">
        <v>417</v>
      </c>
      <c r="O22" s="25" t="s">
        <v>455</v>
      </c>
      <c r="P22" s="1"/>
      <c r="Q22" s="2"/>
      <c r="R22" s="45"/>
      <c r="S22" s="81"/>
      <c r="T22" s="14"/>
      <c r="U22" s="14"/>
      <c r="X22" s="2"/>
    </row>
    <row r="23" spans="1:24" x14ac:dyDescent="0.2">
      <c r="A23" s="184">
        <v>235</v>
      </c>
      <c r="B23" s="18" t="s">
        <v>32</v>
      </c>
      <c r="C23" s="18" t="s">
        <v>471</v>
      </c>
      <c r="D23" s="27"/>
      <c r="E23" s="39"/>
      <c r="F23" s="39"/>
      <c r="G23" s="39"/>
      <c r="H23" s="39"/>
      <c r="I23" s="39"/>
      <c r="J23" s="26" t="s">
        <v>433</v>
      </c>
      <c r="K23" s="26" t="s">
        <v>476</v>
      </c>
      <c r="L23" s="77"/>
      <c r="N23" s="26" t="s">
        <v>35</v>
      </c>
      <c r="O23" s="26" t="s">
        <v>957</v>
      </c>
      <c r="P23" s="2"/>
      <c r="Q23" s="81"/>
      <c r="R23" s="81"/>
      <c r="S23" s="14"/>
      <c r="T23" s="14"/>
      <c r="W23" s="2"/>
    </row>
    <row r="24" spans="1:24" x14ac:dyDescent="0.2">
      <c r="A24" s="184"/>
      <c r="B24" s="8"/>
      <c r="C24" s="8"/>
      <c r="D24" s="27"/>
      <c r="E24" s="39"/>
      <c r="F24" s="15" t="s">
        <v>417</v>
      </c>
      <c r="G24" s="15" t="s">
        <v>455</v>
      </c>
      <c r="H24" s="197" t="s">
        <v>500</v>
      </c>
      <c r="I24" s="198"/>
      <c r="J24" s="25" t="s">
        <v>180</v>
      </c>
      <c r="K24" s="25" t="s">
        <v>468</v>
      </c>
      <c r="N24" s="25" t="s">
        <v>180</v>
      </c>
      <c r="O24" s="25" t="s">
        <v>468</v>
      </c>
    </row>
    <row r="25" spans="1:24" x14ac:dyDescent="0.2">
      <c r="A25" s="184"/>
      <c r="B25" s="8"/>
      <c r="C25" s="8"/>
      <c r="D25" s="27"/>
      <c r="E25" s="39"/>
      <c r="F25" s="15" t="s">
        <v>427</v>
      </c>
      <c r="G25" s="15" t="s">
        <v>472</v>
      </c>
      <c r="H25" s="45"/>
      <c r="I25" s="45"/>
      <c r="J25" s="25" t="s">
        <v>32</v>
      </c>
      <c r="K25" s="25" t="s">
        <v>471</v>
      </c>
      <c r="L25" s="2"/>
      <c r="N25" s="25" t="s">
        <v>32</v>
      </c>
      <c r="O25" s="25" t="s">
        <v>471</v>
      </c>
    </row>
    <row r="26" spans="1:24" x14ac:dyDescent="0.2">
      <c r="F26" s="15" t="s">
        <v>180</v>
      </c>
      <c r="G26" s="15" t="s">
        <v>454</v>
      </c>
      <c r="J26" s="83" t="s">
        <v>41</v>
      </c>
      <c r="K26" s="57">
        <v>185</v>
      </c>
      <c r="N26" s="83" t="s">
        <v>41</v>
      </c>
      <c r="O26" s="25" t="s">
        <v>700</v>
      </c>
    </row>
    <row r="27" spans="1:24" x14ac:dyDescent="0.2">
      <c r="F27" s="15" t="s">
        <v>446</v>
      </c>
      <c r="G27" s="15" t="s">
        <v>469</v>
      </c>
      <c r="J27" s="83" t="s">
        <v>41</v>
      </c>
      <c r="K27" s="57">
        <v>579</v>
      </c>
      <c r="N27" s="83" t="s">
        <v>41</v>
      </c>
      <c r="O27" s="57">
        <v>479</v>
      </c>
    </row>
    <row r="28" spans="1:24" x14ac:dyDescent="0.2">
      <c r="F28" s="11" t="s">
        <v>41</v>
      </c>
      <c r="G28" s="15" t="s">
        <v>700</v>
      </c>
      <c r="N28" s="39"/>
      <c r="O28" s="39"/>
    </row>
    <row r="29" spans="1:24" x14ac:dyDescent="0.2">
      <c r="F29" s="11" t="s">
        <v>41</v>
      </c>
      <c r="G29" s="15" t="s">
        <v>67</v>
      </c>
      <c r="J29" s="25" t="s">
        <v>417</v>
      </c>
      <c r="K29" s="25" t="s">
        <v>455</v>
      </c>
      <c r="N29" s="25" t="s">
        <v>417</v>
      </c>
      <c r="O29" s="25" t="s">
        <v>455</v>
      </c>
      <c r="P29" s="197"/>
      <c r="Q29" s="198"/>
    </row>
    <row r="30" spans="1:24" x14ac:dyDescent="0.2">
      <c r="G30" s="51"/>
      <c r="J30" s="26" t="s">
        <v>433</v>
      </c>
      <c r="K30" s="26" t="s">
        <v>476</v>
      </c>
      <c r="N30" s="26" t="s">
        <v>35</v>
      </c>
      <c r="O30" s="26" t="s">
        <v>957</v>
      </c>
    </row>
    <row r="31" spans="1:24" x14ac:dyDescent="0.2">
      <c r="F31" s="15" t="s">
        <v>417</v>
      </c>
      <c r="G31" s="15" t="s">
        <v>455</v>
      </c>
      <c r="H31" s="197" t="s">
        <v>501</v>
      </c>
      <c r="I31" s="198"/>
      <c r="J31" s="25" t="s">
        <v>446</v>
      </c>
      <c r="K31" s="25" t="s">
        <v>469</v>
      </c>
      <c r="N31" s="25" t="s">
        <v>446</v>
      </c>
      <c r="O31" s="25" t="s">
        <v>469</v>
      </c>
    </row>
    <row r="32" spans="1:24" x14ac:dyDescent="0.2">
      <c r="F32" s="15" t="s">
        <v>427</v>
      </c>
      <c r="G32" s="15" t="s">
        <v>472</v>
      </c>
      <c r="J32" s="25" t="s">
        <v>32</v>
      </c>
      <c r="K32" s="25" t="s">
        <v>471</v>
      </c>
      <c r="N32" s="25" t="s">
        <v>32</v>
      </c>
      <c r="O32" s="25" t="s">
        <v>471</v>
      </c>
    </row>
    <row r="33" spans="6:15" x14ac:dyDescent="0.2">
      <c r="F33" s="15" t="s">
        <v>180</v>
      </c>
      <c r="G33" s="15" t="s">
        <v>454</v>
      </c>
      <c r="J33" s="83" t="s">
        <v>41</v>
      </c>
      <c r="K33" s="25" t="s">
        <v>700</v>
      </c>
      <c r="N33" s="83" t="s">
        <v>41</v>
      </c>
      <c r="O33" s="25" t="s">
        <v>700</v>
      </c>
    </row>
    <row r="34" spans="6:15" x14ac:dyDescent="0.2">
      <c r="F34" s="15" t="s">
        <v>32</v>
      </c>
      <c r="G34" s="15" t="s">
        <v>471</v>
      </c>
      <c r="J34" s="83" t="s">
        <v>41</v>
      </c>
      <c r="K34" s="57">
        <v>579</v>
      </c>
      <c r="N34" s="83" t="s">
        <v>41</v>
      </c>
      <c r="O34" s="57">
        <v>479</v>
      </c>
    </row>
    <row r="35" spans="6:15" x14ac:dyDescent="0.2">
      <c r="F35" s="11" t="s">
        <v>41</v>
      </c>
      <c r="G35" s="15" t="s">
        <v>700</v>
      </c>
    </row>
    <row r="36" spans="6:15" x14ac:dyDescent="0.2">
      <c r="F36" s="11" t="s">
        <v>41</v>
      </c>
      <c r="G36" s="15" t="s">
        <v>67</v>
      </c>
    </row>
    <row r="38" spans="6:15" x14ac:dyDescent="0.2">
      <c r="F38" s="15" t="s">
        <v>417</v>
      </c>
      <c r="G38" s="15" t="s">
        <v>455</v>
      </c>
      <c r="H38" s="197" t="s">
        <v>502</v>
      </c>
      <c r="I38" s="198"/>
    </row>
    <row r="39" spans="6:15" x14ac:dyDescent="0.2">
      <c r="F39" s="15" t="s">
        <v>427</v>
      </c>
      <c r="G39" s="15" t="s">
        <v>472</v>
      </c>
    </row>
    <row r="40" spans="6:15" x14ac:dyDescent="0.2">
      <c r="F40" s="15" t="s">
        <v>446</v>
      </c>
      <c r="G40" s="15" t="s">
        <v>469</v>
      </c>
    </row>
    <row r="41" spans="6:15" x14ac:dyDescent="0.2">
      <c r="F41" s="15" t="s">
        <v>32</v>
      </c>
      <c r="G41" s="15" t="s">
        <v>471</v>
      </c>
    </row>
    <row r="42" spans="6:15" x14ac:dyDescent="0.2">
      <c r="F42" s="11" t="s">
        <v>41</v>
      </c>
      <c r="G42" s="15" t="s">
        <v>700</v>
      </c>
    </row>
    <row r="43" spans="6:15" x14ac:dyDescent="0.2">
      <c r="F43" s="11" t="s">
        <v>41</v>
      </c>
      <c r="G43" s="15" t="s">
        <v>67</v>
      </c>
    </row>
    <row r="45" spans="6:15" x14ac:dyDescent="0.2">
      <c r="F45" s="15" t="s">
        <v>417</v>
      </c>
      <c r="G45" s="15" t="s">
        <v>455</v>
      </c>
      <c r="H45" s="197" t="s">
        <v>503</v>
      </c>
      <c r="I45" s="198"/>
    </row>
    <row r="46" spans="6:15" x14ac:dyDescent="0.2">
      <c r="F46" s="15" t="s">
        <v>71</v>
      </c>
      <c r="G46" s="15" t="s">
        <v>474</v>
      </c>
    </row>
    <row r="47" spans="6:15" x14ac:dyDescent="0.2">
      <c r="F47" s="15" t="s">
        <v>180</v>
      </c>
      <c r="G47" s="15" t="s">
        <v>454</v>
      </c>
    </row>
    <row r="48" spans="6:15" x14ac:dyDescent="0.2">
      <c r="F48" s="15" t="s">
        <v>446</v>
      </c>
      <c r="G48" s="15" t="s">
        <v>469</v>
      </c>
    </row>
    <row r="49" spans="6:9" x14ac:dyDescent="0.2">
      <c r="F49" s="11" t="s">
        <v>41</v>
      </c>
      <c r="G49" s="15" t="s">
        <v>700</v>
      </c>
    </row>
    <row r="50" spans="6:9" x14ac:dyDescent="0.2">
      <c r="F50" s="11" t="s">
        <v>41</v>
      </c>
      <c r="G50" s="15" t="s">
        <v>67</v>
      </c>
    </row>
    <row r="51" spans="6:9" x14ac:dyDescent="0.2">
      <c r="G51" s="51"/>
    </row>
    <row r="52" spans="6:9" x14ac:dyDescent="0.2">
      <c r="F52" s="15" t="s">
        <v>417</v>
      </c>
      <c r="G52" s="15" t="s">
        <v>455</v>
      </c>
      <c r="H52" s="197" t="s">
        <v>504</v>
      </c>
      <c r="I52" s="198"/>
    </row>
    <row r="53" spans="6:9" x14ac:dyDescent="0.2">
      <c r="F53" s="15" t="s">
        <v>71</v>
      </c>
      <c r="G53" s="15" t="s">
        <v>474</v>
      </c>
    </row>
    <row r="54" spans="6:9" x14ac:dyDescent="0.2">
      <c r="F54" s="15" t="s">
        <v>180</v>
      </c>
      <c r="G54" s="15" t="s">
        <v>454</v>
      </c>
    </row>
    <row r="55" spans="6:9" x14ac:dyDescent="0.2">
      <c r="F55" s="15" t="s">
        <v>32</v>
      </c>
      <c r="G55" s="15" t="s">
        <v>471</v>
      </c>
    </row>
    <row r="56" spans="6:9" x14ac:dyDescent="0.2">
      <c r="F56" s="11" t="s">
        <v>41</v>
      </c>
      <c r="G56" s="15" t="s">
        <v>700</v>
      </c>
    </row>
    <row r="57" spans="6:9" x14ac:dyDescent="0.2">
      <c r="F57" s="11" t="s">
        <v>41</v>
      </c>
      <c r="G57" s="15" t="s">
        <v>67</v>
      </c>
    </row>
    <row r="59" spans="6:9" x14ac:dyDescent="0.2">
      <c r="F59" s="15" t="s">
        <v>417</v>
      </c>
      <c r="G59" s="15" t="s">
        <v>455</v>
      </c>
      <c r="H59" s="197" t="s">
        <v>505</v>
      </c>
      <c r="I59" s="198"/>
    </row>
    <row r="60" spans="6:9" x14ac:dyDescent="0.2">
      <c r="F60" s="15" t="s">
        <v>71</v>
      </c>
      <c r="G60" s="15" t="s">
        <v>474</v>
      </c>
    </row>
    <row r="61" spans="6:9" x14ac:dyDescent="0.2">
      <c r="F61" s="15" t="s">
        <v>446</v>
      </c>
      <c r="G61" s="15" t="s">
        <v>469</v>
      </c>
    </row>
    <row r="62" spans="6:9" x14ac:dyDescent="0.2">
      <c r="F62" s="15" t="s">
        <v>32</v>
      </c>
      <c r="G62" s="15" t="s">
        <v>471</v>
      </c>
    </row>
    <row r="63" spans="6:9" x14ac:dyDescent="0.2">
      <c r="F63" s="11" t="s">
        <v>41</v>
      </c>
      <c r="G63" s="15" t="s">
        <v>700</v>
      </c>
    </row>
    <row r="64" spans="6:9" x14ac:dyDescent="0.2">
      <c r="F64" s="11" t="s">
        <v>41</v>
      </c>
      <c r="G64" s="15" t="s">
        <v>67</v>
      </c>
    </row>
    <row r="66" spans="6:9" x14ac:dyDescent="0.2">
      <c r="F66" s="15" t="s">
        <v>427</v>
      </c>
      <c r="G66" s="15" t="s">
        <v>472</v>
      </c>
      <c r="H66" s="197" t="s">
        <v>506</v>
      </c>
      <c r="I66" s="198"/>
    </row>
    <row r="67" spans="6:9" x14ac:dyDescent="0.2">
      <c r="F67" s="15" t="s">
        <v>71</v>
      </c>
      <c r="G67" s="15" t="s">
        <v>474</v>
      </c>
    </row>
    <row r="68" spans="6:9" x14ac:dyDescent="0.2">
      <c r="F68" s="15" t="s">
        <v>180</v>
      </c>
      <c r="G68" s="15" t="s">
        <v>454</v>
      </c>
    </row>
    <row r="69" spans="6:9" x14ac:dyDescent="0.2">
      <c r="F69" s="15" t="s">
        <v>446</v>
      </c>
      <c r="G69" s="15" t="s">
        <v>469</v>
      </c>
    </row>
    <row r="70" spans="6:9" x14ac:dyDescent="0.2">
      <c r="F70" s="11" t="s">
        <v>41</v>
      </c>
      <c r="G70" s="15" t="s">
        <v>700</v>
      </c>
    </row>
    <row r="71" spans="6:9" x14ac:dyDescent="0.2">
      <c r="F71" s="11" t="s">
        <v>41</v>
      </c>
      <c r="G71" s="15" t="s">
        <v>67</v>
      </c>
    </row>
    <row r="72" spans="6:9" x14ac:dyDescent="0.2">
      <c r="G72" s="51"/>
    </row>
    <row r="73" spans="6:9" x14ac:dyDescent="0.2">
      <c r="F73" s="15" t="s">
        <v>427</v>
      </c>
      <c r="G73" s="15" t="s">
        <v>472</v>
      </c>
      <c r="H73" s="197" t="s">
        <v>507</v>
      </c>
      <c r="I73" s="198"/>
    </row>
    <row r="74" spans="6:9" x14ac:dyDescent="0.2">
      <c r="F74" s="15" t="s">
        <v>71</v>
      </c>
      <c r="G74" s="15" t="s">
        <v>474</v>
      </c>
    </row>
    <row r="75" spans="6:9" x14ac:dyDescent="0.2">
      <c r="F75" s="15" t="s">
        <v>180</v>
      </c>
      <c r="G75" s="15" t="s">
        <v>454</v>
      </c>
    </row>
    <row r="76" spans="6:9" x14ac:dyDescent="0.2">
      <c r="F76" s="15" t="s">
        <v>32</v>
      </c>
      <c r="G76" s="15" t="s">
        <v>471</v>
      </c>
    </row>
    <row r="77" spans="6:9" x14ac:dyDescent="0.2">
      <c r="F77" s="11" t="s">
        <v>41</v>
      </c>
      <c r="G77" s="48">
        <v>185</v>
      </c>
    </row>
    <row r="78" spans="6:9" x14ac:dyDescent="0.2">
      <c r="F78" s="11" t="s">
        <v>41</v>
      </c>
      <c r="G78" s="48">
        <v>179</v>
      </c>
    </row>
    <row r="80" spans="6:9" x14ac:dyDescent="0.2">
      <c r="F80" s="15" t="s">
        <v>427</v>
      </c>
      <c r="G80" s="15" t="s">
        <v>472</v>
      </c>
      <c r="H80" s="197" t="s">
        <v>508</v>
      </c>
      <c r="I80" s="198"/>
    </row>
    <row r="81" spans="6:7" x14ac:dyDescent="0.2">
      <c r="F81" s="15" t="s">
        <v>71</v>
      </c>
      <c r="G81" s="15" t="s">
        <v>474</v>
      </c>
    </row>
    <row r="82" spans="6:7" x14ac:dyDescent="0.2">
      <c r="F82" s="15" t="s">
        <v>446</v>
      </c>
      <c r="G82" s="15" t="s">
        <v>469</v>
      </c>
    </row>
    <row r="83" spans="6:7" x14ac:dyDescent="0.2">
      <c r="F83" s="15" t="s">
        <v>32</v>
      </c>
      <c r="G83" s="15" t="s">
        <v>471</v>
      </c>
    </row>
    <row r="84" spans="6:7" x14ac:dyDescent="0.2">
      <c r="F84" s="11" t="s">
        <v>41</v>
      </c>
      <c r="G84" s="15" t="s">
        <v>700</v>
      </c>
    </row>
    <row r="85" spans="6:7" x14ac:dyDescent="0.2">
      <c r="F85" s="11" t="s">
        <v>41</v>
      </c>
      <c r="G85" s="15" t="s">
        <v>67</v>
      </c>
    </row>
  </sheetData>
  <mergeCells count="33">
    <mergeCell ref="A7:C7"/>
    <mergeCell ref="F7:H7"/>
    <mergeCell ref="A17:A19"/>
    <mergeCell ref="F19:F21"/>
    <mergeCell ref="A20:A22"/>
    <mergeCell ref="F13:F15"/>
    <mergeCell ref="A23:A25"/>
    <mergeCell ref="A14:A16"/>
    <mergeCell ref="F16:F18"/>
    <mergeCell ref="O13:P13"/>
    <mergeCell ref="A10:A12"/>
    <mergeCell ref="F10:F12"/>
    <mergeCell ref="B13:C13"/>
    <mergeCell ref="H24:I24"/>
    <mergeCell ref="J10:J12"/>
    <mergeCell ref="N10:N12"/>
    <mergeCell ref="K13:L13"/>
    <mergeCell ref="J7:L7"/>
    <mergeCell ref="N7:P7"/>
    <mergeCell ref="F8:H8"/>
    <mergeCell ref="J8:L8"/>
    <mergeCell ref="N8:P8"/>
    <mergeCell ref="H73:I73"/>
    <mergeCell ref="H80:I80"/>
    <mergeCell ref="P15:Q15"/>
    <mergeCell ref="G22:H22"/>
    <mergeCell ref="H52:I52"/>
    <mergeCell ref="H59:I59"/>
    <mergeCell ref="H66:I66"/>
    <mergeCell ref="H31:I31"/>
    <mergeCell ref="H38:I38"/>
    <mergeCell ref="H45:I45"/>
    <mergeCell ref="P29:Q29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99"/>
  <sheetViews>
    <sheetView topLeftCell="B1" workbookViewId="0">
      <selection activeCell="F47" sqref="F47"/>
    </sheetView>
  </sheetViews>
  <sheetFormatPr defaultRowHeight="12.75" x14ac:dyDescent="0.2"/>
  <sheetData>
    <row r="2" spans="1:20" x14ac:dyDescent="0.2">
      <c r="A2" s="9"/>
      <c r="B2" s="10">
        <v>7.6523000000000003</v>
      </c>
      <c r="C2" s="10">
        <v>14.117699999999999</v>
      </c>
      <c r="D2" s="10">
        <v>22.85</v>
      </c>
      <c r="E2" s="11">
        <v>30.665500000000002</v>
      </c>
      <c r="F2" s="12" t="s">
        <v>793</v>
      </c>
      <c r="G2" s="12" t="s">
        <v>794</v>
      </c>
      <c r="H2" s="12" t="s">
        <v>795</v>
      </c>
      <c r="I2" s="12">
        <v>67.290000000000006</v>
      </c>
      <c r="J2" s="1"/>
      <c r="K2" s="1"/>
      <c r="L2" s="2"/>
      <c r="M2" s="14"/>
      <c r="N2" s="14"/>
      <c r="O2" s="14"/>
      <c r="P2" s="14"/>
    </row>
    <row r="3" spans="1:20" x14ac:dyDescent="0.2">
      <c r="A3" s="19" t="s">
        <v>0</v>
      </c>
      <c r="B3" s="33">
        <f>30.6655/B2</f>
        <v>4.0073572651359726</v>
      </c>
      <c r="C3" s="33">
        <f t="shared" ref="C3:I3" si="0">30.6655/C2</f>
        <v>2.1721314378404415</v>
      </c>
      <c r="D3" s="33">
        <f t="shared" si="0"/>
        <v>1.3420350109409189</v>
      </c>
      <c r="E3" s="33">
        <f t="shared" si="0"/>
        <v>1</v>
      </c>
      <c r="F3" s="33">
        <f t="shared" si="0"/>
        <v>0.76663750000000008</v>
      </c>
      <c r="G3" s="33">
        <f t="shared" si="0"/>
        <v>0.60808653665017509</v>
      </c>
      <c r="H3" s="33">
        <f t="shared" si="0"/>
        <v>0.52733807382440701</v>
      </c>
      <c r="I3" s="33">
        <f t="shared" si="0"/>
        <v>0.45572150393817801</v>
      </c>
      <c r="J3" s="1" t="s">
        <v>540</v>
      </c>
      <c r="K3" s="12">
        <f>B3/I3</f>
        <v>8.7934346536335486</v>
      </c>
      <c r="L3" s="2"/>
      <c r="M3" s="14"/>
      <c r="N3" s="14"/>
      <c r="O3" s="14"/>
      <c r="P3" s="14"/>
    </row>
    <row r="4" spans="1:20" x14ac:dyDescent="0.2">
      <c r="A4" s="19" t="s">
        <v>1</v>
      </c>
      <c r="B4" s="33"/>
      <c r="C4" s="33">
        <f t="shared" ref="C4:I4" si="1">B3/C3</f>
        <v>1.8448963056858723</v>
      </c>
      <c r="D4" s="33">
        <f t="shared" si="1"/>
        <v>1.6185355971581774</v>
      </c>
      <c r="E4" s="35">
        <f t="shared" si="1"/>
        <v>1.3420350109409189</v>
      </c>
      <c r="F4" s="36">
        <f t="shared" si="1"/>
        <v>1.3043974499029853</v>
      </c>
      <c r="G4" s="36">
        <f t="shared" si="1"/>
        <v>1.2607374999999998</v>
      </c>
      <c r="H4" s="36">
        <f t="shared" si="1"/>
        <v>1.1531246591776638</v>
      </c>
      <c r="I4" s="36">
        <f t="shared" si="1"/>
        <v>1.1571498585591087</v>
      </c>
      <c r="J4" s="1"/>
      <c r="K4" s="1"/>
      <c r="L4" s="2"/>
      <c r="M4" s="14"/>
      <c r="N4" s="14"/>
      <c r="O4" s="14"/>
      <c r="P4" s="14"/>
    </row>
    <row r="5" spans="1:20" x14ac:dyDescent="0.2">
      <c r="A5" s="9"/>
      <c r="B5" s="9">
        <f t="shared" ref="B5:I5" si="2">100/B3</f>
        <v>24.954101514731537</v>
      </c>
      <c r="C5" s="9">
        <f t="shared" si="2"/>
        <v>46.037729696238443</v>
      </c>
      <c r="D5" s="9">
        <f t="shared" si="2"/>
        <v>74.513704325708048</v>
      </c>
      <c r="E5" s="13">
        <f t="shared" si="2"/>
        <v>100</v>
      </c>
      <c r="F5" s="7">
        <f t="shared" si="2"/>
        <v>130.43974499029852</v>
      </c>
      <c r="G5" s="7">
        <f t="shared" si="2"/>
        <v>164.45027799970649</v>
      </c>
      <c r="H5" s="7">
        <f t="shared" si="2"/>
        <v>189.63167077008362</v>
      </c>
      <c r="I5" s="7">
        <f t="shared" si="2"/>
        <v>219.43226100992973</v>
      </c>
      <c r="J5" s="1"/>
      <c r="K5" s="1"/>
      <c r="L5" s="2"/>
      <c r="M5" s="14"/>
      <c r="N5" s="14"/>
      <c r="O5" s="14"/>
      <c r="P5" s="14"/>
    </row>
    <row r="6" spans="1:20" x14ac:dyDescent="0.2">
      <c r="B6">
        <f>1/B3</f>
        <v>0.24954101514731536</v>
      </c>
      <c r="C6">
        <f t="shared" ref="C6:I6" si="3">1/C3</f>
        <v>0.46037729696238444</v>
      </c>
      <c r="D6">
        <f t="shared" si="3"/>
        <v>0.74513704325708052</v>
      </c>
      <c r="E6">
        <f t="shared" si="3"/>
        <v>1</v>
      </c>
      <c r="F6">
        <f t="shared" si="3"/>
        <v>1.3043974499029853</v>
      </c>
      <c r="G6">
        <f t="shared" si="3"/>
        <v>1.6445027799970648</v>
      </c>
      <c r="H6">
        <f t="shared" si="3"/>
        <v>1.8963167077008363</v>
      </c>
      <c r="I6">
        <f t="shared" si="3"/>
        <v>2.1943226100992974</v>
      </c>
      <c r="J6" s="3"/>
      <c r="K6" s="1"/>
      <c r="L6" s="1"/>
      <c r="M6" s="1"/>
      <c r="N6" s="1"/>
      <c r="O6" s="1"/>
      <c r="P6" s="1"/>
    </row>
    <row r="7" spans="1:20" x14ac:dyDescent="0.2">
      <c r="A7" s="188" t="s">
        <v>60</v>
      </c>
      <c r="B7" s="188"/>
      <c r="C7" s="188"/>
      <c r="D7" s="27"/>
      <c r="E7" s="39"/>
      <c r="F7" s="191" t="s">
        <v>97</v>
      </c>
      <c r="G7" s="192"/>
      <c r="H7" s="192"/>
      <c r="I7" s="39"/>
      <c r="J7" s="189" t="s">
        <v>98</v>
      </c>
      <c r="K7" s="189"/>
      <c r="L7" s="189"/>
      <c r="M7" s="14"/>
      <c r="N7" s="189" t="s">
        <v>99</v>
      </c>
      <c r="O7" s="189"/>
      <c r="P7" s="189"/>
      <c r="R7" s="189" t="s">
        <v>100</v>
      </c>
      <c r="S7" s="189"/>
      <c r="T7" s="189"/>
    </row>
    <row r="8" spans="1:20" x14ac:dyDescent="0.2">
      <c r="D8" s="27"/>
      <c r="E8" s="39"/>
      <c r="F8" s="194" t="s">
        <v>68</v>
      </c>
      <c r="G8" s="195"/>
      <c r="H8" s="195"/>
      <c r="I8" s="39"/>
      <c r="J8" s="194" t="s">
        <v>491</v>
      </c>
      <c r="K8" s="195"/>
      <c r="L8" s="195"/>
      <c r="M8" s="14"/>
      <c r="N8" s="194" t="s">
        <v>493</v>
      </c>
      <c r="O8" s="195"/>
      <c r="P8" s="195"/>
      <c r="R8" s="194" t="s">
        <v>495</v>
      </c>
      <c r="S8" s="195"/>
      <c r="T8" s="195"/>
    </row>
    <row r="9" spans="1:20" x14ac:dyDescent="0.2">
      <c r="A9" s="7" t="s">
        <v>2</v>
      </c>
      <c r="B9" s="8" t="s">
        <v>3</v>
      </c>
      <c r="C9" s="20" t="s">
        <v>0</v>
      </c>
      <c r="D9" s="27"/>
      <c r="E9" s="39"/>
      <c r="F9" s="41" t="s">
        <v>2</v>
      </c>
      <c r="G9" s="41" t="s">
        <v>3</v>
      </c>
      <c r="H9" s="42" t="s">
        <v>0</v>
      </c>
      <c r="I9" s="39"/>
      <c r="J9" s="22" t="s">
        <v>2</v>
      </c>
      <c r="K9" s="22" t="s">
        <v>3</v>
      </c>
      <c r="L9" s="23" t="s">
        <v>0</v>
      </c>
      <c r="M9" s="14"/>
      <c r="N9" s="22" t="s">
        <v>2</v>
      </c>
      <c r="O9" s="22" t="s">
        <v>3</v>
      </c>
      <c r="P9" s="23" t="s">
        <v>0</v>
      </c>
      <c r="R9" s="22" t="s">
        <v>2</v>
      </c>
      <c r="S9" s="22" t="s">
        <v>3</v>
      </c>
      <c r="T9" s="23" t="s">
        <v>0</v>
      </c>
    </row>
    <row r="10" spans="1:20" x14ac:dyDescent="0.2">
      <c r="A10" s="187" t="s">
        <v>4</v>
      </c>
      <c r="B10" s="18"/>
      <c r="C10" s="18"/>
      <c r="D10" s="28"/>
      <c r="E10" s="44"/>
      <c r="F10" s="187" t="s">
        <v>78</v>
      </c>
      <c r="G10" s="25" t="s">
        <v>244</v>
      </c>
      <c r="H10" s="25" t="s">
        <v>490</v>
      </c>
      <c r="I10" s="44"/>
      <c r="J10" s="187" t="s">
        <v>54</v>
      </c>
      <c r="K10" s="26" t="s">
        <v>72</v>
      </c>
      <c r="L10" s="26" t="s">
        <v>492</v>
      </c>
      <c r="M10" s="14"/>
      <c r="N10" s="187" t="s">
        <v>39</v>
      </c>
      <c r="O10" s="29" t="s">
        <v>35</v>
      </c>
      <c r="P10" s="29" t="s">
        <v>494</v>
      </c>
      <c r="R10" s="187" t="s">
        <v>118</v>
      </c>
      <c r="S10" s="26" t="s">
        <v>82</v>
      </c>
      <c r="T10" s="26" t="s">
        <v>243</v>
      </c>
    </row>
    <row r="11" spans="1:20" x14ac:dyDescent="0.2">
      <c r="A11" s="187"/>
      <c r="B11" s="5"/>
      <c r="C11" s="5"/>
      <c r="D11" s="28"/>
      <c r="E11" s="44"/>
      <c r="F11" s="187"/>
      <c r="G11" s="5"/>
      <c r="H11" s="5"/>
      <c r="I11" s="44"/>
      <c r="J11" s="187"/>
      <c r="K11" s="4"/>
      <c r="L11" s="4"/>
      <c r="M11" s="14"/>
      <c r="N11" s="187"/>
      <c r="O11" s="4"/>
      <c r="P11" s="4"/>
      <c r="R11" s="187"/>
      <c r="S11" s="4"/>
      <c r="T11" s="4"/>
    </row>
    <row r="12" spans="1:20" x14ac:dyDescent="0.2">
      <c r="A12" s="187"/>
      <c r="B12" s="5"/>
      <c r="C12" s="5"/>
      <c r="D12" s="28"/>
      <c r="E12" s="44"/>
      <c r="F12" s="187"/>
      <c r="G12" s="5"/>
      <c r="H12" s="5"/>
      <c r="I12" s="44"/>
      <c r="J12" s="187"/>
      <c r="K12" s="4"/>
      <c r="L12" s="4"/>
      <c r="M12" s="14"/>
      <c r="N12" s="187"/>
      <c r="O12" s="4"/>
      <c r="P12" s="4"/>
      <c r="R12" s="187"/>
      <c r="S12" s="4"/>
      <c r="T12" s="4"/>
    </row>
    <row r="13" spans="1:20" x14ac:dyDescent="0.2">
      <c r="A13" s="6" t="s">
        <v>41</v>
      </c>
      <c r="B13" s="208" t="s">
        <v>496</v>
      </c>
      <c r="C13" s="209"/>
      <c r="D13" s="28"/>
      <c r="E13" s="44"/>
      <c r="F13" s="6" t="s">
        <v>41</v>
      </c>
      <c r="G13" s="206" t="s">
        <v>42</v>
      </c>
      <c r="H13" s="207"/>
      <c r="I13" s="44"/>
      <c r="J13" s="6" t="s">
        <v>41</v>
      </c>
      <c r="K13" s="206" t="s">
        <v>42</v>
      </c>
      <c r="L13" s="207"/>
      <c r="M13" s="14"/>
      <c r="N13" s="6" t="s">
        <v>41</v>
      </c>
      <c r="O13" s="206" t="s">
        <v>42</v>
      </c>
      <c r="P13" s="207"/>
      <c r="R13" s="6" t="s">
        <v>41</v>
      </c>
      <c r="S13" s="206" t="s">
        <v>437</v>
      </c>
      <c r="T13" s="207"/>
    </row>
    <row r="14" spans="1:20" x14ac:dyDescent="0.2">
      <c r="A14" s="184" t="s">
        <v>10</v>
      </c>
      <c r="B14" s="25" t="s">
        <v>10</v>
      </c>
      <c r="C14" s="25" t="s">
        <v>428</v>
      </c>
      <c r="D14" s="27"/>
      <c r="E14" s="39"/>
      <c r="F14" s="39"/>
      <c r="G14" s="39"/>
      <c r="H14" s="39"/>
      <c r="I14" s="39"/>
      <c r="J14" s="3"/>
      <c r="K14" s="1"/>
      <c r="L14" s="1"/>
      <c r="M14" s="1"/>
      <c r="P14" s="45"/>
    </row>
    <row r="15" spans="1:20" x14ac:dyDescent="0.2">
      <c r="A15" s="184"/>
      <c r="B15" s="8"/>
      <c r="C15" s="8"/>
      <c r="D15" s="27"/>
      <c r="E15" s="39"/>
      <c r="F15" s="77"/>
      <c r="G15" s="1"/>
      <c r="I15" s="39"/>
      <c r="J15" s="45"/>
      <c r="N15" s="26" t="s">
        <v>35</v>
      </c>
      <c r="O15" s="26" t="s">
        <v>494</v>
      </c>
    </row>
    <row r="16" spans="1:20" ht="12.75" customHeight="1" x14ac:dyDescent="0.2">
      <c r="A16" s="184"/>
      <c r="B16" s="8"/>
      <c r="C16" s="8"/>
      <c r="D16" s="27"/>
      <c r="E16" s="39"/>
      <c r="F16" s="45"/>
      <c r="G16" s="45"/>
      <c r="I16" s="39"/>
      <c r="J16" s="45"/>
      <c r="N16" s="25" t="s">
        <v>160</v>
      </c>
      <c r="O16" s="25" t="s">
        <v>479</v>
      </c>
      <c r="P16" s="210" t="s">
        <v>535</v>
      </c>
      <c r="Q16" s="211"/>
    </row>
    <row r="17" spans="1:17" x14ac:dyDescent="0.2">
      <c r="A17" s="184" t="s">
        <v>160</v>
      </c>
      <c r="B17" s="18" t="s">
        <v>160</v>
      </c>
      <c r="C17" s="18" t="s">
        <v>479</v>
      </c>
      <c r="D17" s="27"/>
      <c r="E17" s="39"/>
      <c r="I17" s="39"/>
      <c r="J17" s="1"/>
      <c r="N17" s="25" t="s">
        <v>16</v>
      </c>
      <c r="O17" s="25" t="s">
        <v>480</v>
      </c>
      <c r="P17" s="210"/>
      <c r="Q17" s="211"/>
    </row>
    <row r="18" spans="1:17" x14ac:dyDescent="0.2">
      <c r="A18" s="184"/>
      <c r="B18" s="8"/>
      <c r="C18" s="8"/>
      <c r="D18" s="27"/>
      <c r="E18" s="39"/>
      <c r="I18" s="39"/>
      <c r="J18" s="1"/>
      <c r="N18" s="25" t="s">
        <v>115</v>
      </c>
      <c r="O18" s="25" t="s">
        <v>434</v>
      </c>
      <c r="P18" s="210"/>
      <c r="Q18" s="211"/>
    </row>
    <row r="19" spans="1:17" x14ac:dyDescent="0.2">
      <c r="A19" s="184"/>
      <c r="B19" s="8"/>
      <c r="C19" s="8"/>
      <c r="D19" s="27"/>
      <c r="E19" s="39"/>
      <c r="I19" s="39"/>
      <c r="J19" s="1"/>
      <c r="N19" s="83" t="s">
        <v>41</v>
      </c>
      <c r="O19" s="25" t="s">
        <v>496</v>
      </c>
      <c r="P19" s="210"/>
      <c r="Q19" s="211"/>
    </row>
    <row r="20" spans="1:17" x14ac:dyDescent="0.2">
      <c r="A20" s="184" t="s">
        <v>15</v>
      </c>
      <c r="B20" s="18" t="s">
        <v>16</v>
      </c>
      <c r="C20" s="18" t="s">
        <v>480</v>
      </c>
      <c r="D20" s="27"/>
      <c r="E20" s="39"/>
      <c r="I20" s="39"/>
      <c r="J20" s="1"/>
      <c r="N20" s="83" t="s">
        <v>41</v>
      </c>
      <c r="O20" s="25" t="s">
        <v>67</v>
      </c>
    </row>
    <row r="21" spans="1:17" x14ac:dyDescent="0.2">
      <c r="A21" s="184"/>
      <c r="B21" s="8"/>
      <c r="C21" s="8"/>
      <c r="D21" s="27"/>
      <c r="E21" s="39"/>
      <c r="I21" s="39"/>
      <c r="J21" s="1"/>
    </row>
    <row r="22" spans="1:17" x14ac:dyDescent="0.2">
      <c r="A22" s="184"/>
      <c r="B22" s="8"/>
      <c r="C22" s="8"/>
      <c r="D22" s="27"/>
      <c r="E22" s="39"/>
      <c r="I22" s="39"/>
      <c r="J22" s="1"/>
      <c r="N22" s="26" t="s">
        <v>35</v>
      </c>
      <c r="O22" s="26" t="s">
        <v>494</v>
      </c>
    </row>
    <row r="23" spans="1:17" x14ac:dyDescent="0.2">
      <c r="A23" s="184" t="s">
        <v>161</v>
      </c>
      <c r="B23" s="18" t="s">
        <v>115</v>
      </c>
      <c r="C23" s="18" t="s">
        <v>434</v>
      </c>
      <c r="D23" s="27"/>
      <c r="E23" s="39"/>
      <c r="I23" s="39"/>
      <c r="J23" s="2"/>
      <c r="N23" s="25" t="s">
        <v>160</v>
      </c>
      <c r="O23" s="25" t="s">
        <v>479</v>
      </c>
      <c r="P23" s="210" t="s">
        <v>535</v>
      </c>
      <c r="Q23" s="211"/>
    </row>
    <row r="24" spans="1:17" x14ac:dyDescent="0.2">
      <c r="A24" s="184"/>
      <c r="B24" s="8"/>
      <c r="C24" s="8"/>
      <c r="D24" s="27"/>
      <c r="E24" s="39"/>
      <c r="N24" s="25" t="s">
        <v>16</v>
      </c>
      <c r="O24" s="25" t="s">
        <v>480</v>
      </c>
      <c r="P24" s="210"/>
      <c r="Q24" s="211"/>
    </row>
    <row r="25" spans="1:17" x14ac:dyDescent="0.2">
      <c r="A25" s="184"/>
      <c r="B25" s="8"/>
      <c r="C25" s="8"/>
      <c r="D25" s="27"/>
      <c r="E25" s="39"/>
      <c r="N25" s="25" t="s">
        <v>483</v>
      </c>
      <c r="O25" s="25" t="s">
        <v>61</v>
      </c>
      <c r="P25" s="210"/>
      <c r="Q25" s="211"/>
    </row>
    <row r="26" spans="1:17" x14ac:dyDescent="0.2">
      <c r="A26" s="184" t="s">
        <v>22</v>
      </c>
      <c r="B26" s="25" t="s">
        <v>481</v>
      </c>
      <c r="C26" s="25" t="s">
        <v>482</v>
      </c>
      <c r="N26" s="83" t="s">
        <v>41</v>
      </c>
      <c r="O26" s="25" t="s">
        <v>496</v>
      </c>
      <c r="P26" s="210"/>
      <c r="Q26" s="211"/>
    </row>
    <row r="27" spans="1:17" x14ac:dyDescent="0.2">
      <c r="A27" s="184"/>
      <c r="B27" s="8"/>
      <c r="C27" s="8"/>
      <c r="N27" s="83" t="s">
        <v>41</v>
      </c>
      <c r="O27" s="25" t="s">
        <v>42</v>
      </c>
    </row>
    <row r="28" spans="1:17" x14ac:dyDescent="0.2">
      <c r="A28" s="184"/>
      <c r="B28" s="8"/>
      <c r="C28" s="8"/>
    </row>
    <row r="29" spans="1:17" x14ac:dyDescent="0.2">
      <c r="A29" s="184" t="s">
        <v>478</v>
      </c>
      <c r="B29" s="18" t="s">
        <v>483</v>
      </c>
      <c r="C29" s="18" t="s">
        <v>61</v>
      </c>
      <c r="N29" s="26" t="s">
        <v>35</v>
      </c>
      <c r="O29" s="26" t="s">
        <v>494</v>
      </c>
    </row>
    <row r="30" spans="1:17" x14ac:dyDescent="0.2">
      <c r="A30" s="184"/>
      <c r="B30" s="8"/>
      <c r="C30" s="8"/>
      <c r="N30" s="25" t="s">
        <v>160</v>
      </c>
      <c r="O30" s="25" t="s">
        <v>479</v>
      </c>
    </row>
    <row r="31" spans="1:17" x14ac:dyDescent="0.2">
      <c r="A31" s="184"/>
      <c r="B31" s="8"/>
      <c r="C31" s="8"/>
      <c r="N31" s="25" t="s">
        <v>16</v>
      </c>
      <c r="O31" s="25" t="s">
        <v>480</v>
      </c>
    </row>
    <row r="32" spans="1:17" x14ac:dyDescent="0.2">
      <c r="A32" s="184" t="s">
        <v>162</v>
      </c>
      <c r="B32" s="18" t="s">
        <v>485</v>
      </c>
      <c r="C32" s="18" t="s">
        <v>484</v>
      </c>
      <c r="N32" s="25" t="s">
        <v>485</v>
      </c>
      <c r="O32" s="25" t="s">
        <v>484</v>
      </c>
    </row>
    <row r="33" spans="1:17" x14ac:dyDescent="0.2">
      <c r="A33" s="184"/>
      <c r="B33" s="8"/>
      <c r="C33" s="8"/>
      <c r="N33" s="83" t="s">
        <v>41</v>
      </c>
      <c r="O33" s="25" t="s">
        <v>496</v>
      </c>
    </row>
    <row r="34" spans="1:17" x14ac:dyDescent="0.2">
      <c r="A34" s="184"/>
      <c r="B34" s="8"/>
      <c r="C34" s="8"/>
      <c r="N34" s="83" t="s">
        <v>41</v>
      </c>
      <c r="O34" s="25" t="s">
        <v>67</v>
      </c>
    </row>
    <row r="35" spans="1:17" x14ac:dyDescent="0.2">
      <c r="A35" s="184" t="s">
        <v>477</v>
      </c>
      <c r="B35" s="18" t="s">
        <v>28</v>
      </c>
      <c r="C35" s="18" t="s">
        <v>486</v>
      </c>
    </row>
    <row r="36" spans="1:17" x14ac:dyDescent="0.2">
      <c r="A36" s="184"/>
      <c r="B36" s="8"/>
      <c r="C36" s="8"/>
      <c r="N36" s="26" t="s">
        <v>35</v>
      </c>
      <c r="O36" s="26" t="s">
        <v>494</v>
      </c>
    </row>
    <row r="37" spans="1:17" x14ac:dyDescent="0.2">
      <c r="A37" s="184"/>
      <c r="B37" s="8"/>
      <c r="C37" s="8"/>
      <c r="N37" s="25" t="s">
        <v>160</v>
      </c>
      <c r="O37" s="25" t="s">
        <v>479</v>
      </c>
    </row>
    <row r="38" spans="1:17" x14ac:dyDescent="0.2">
      <c r="A38" s="184" t="s">
        <v>116</v>
      </c>
      <c r="B38" s="18" t="s">
        <v>487</v>
      </c>
      <c r="C38" s="18" t="s">
        <v>488</v>
      </c>
      <c r="N38" s="25" t="s">
        <v>16</v>
      </c>
      <c r="O38" s="25" t="s">
        <v>480</v>
      </c>
    </row>
    <row r="39" spans="1:17" x14ac:dyDescent="0.2">
      <c r="A39" s="184"/>
      <c r="B39" s="8"/>
      <c r="C39" s="8"/>
      <c r="N39" s="25" t="s">
        <v>28</v>
      </c>
      <c r="O39" s="25" t="s">
        <v>486</v>
      </c>
    </row>
    <row r="40" spans="1:17" x14ac:dyDescent="0.2">
      <c r="A40" s="184"/>
      <c r="B40" s="8"/>
      <c r="C40" s="8"/>
      <c r="N40" s="83" t="s">
        <v>41</v>
      </c>
      <c r="O40" s="25" t="s">
        <v>496</v>
      </c>
    </row>
    <row r="41" spans="1:17" x14ac:dyDescent="0.2">
      <c r="A41" s="184" t="s">
        <v>475</v>
      </c>
      <c r="B41" s="18" t="s">
        <v>489</v>
      </c>
      <c r="C41" s="18" t="s">
        <v>455</v>
      </c>
      <c r="N41" s="83" t="s">
        <v>41</v>
      </c>
      <c r="O41" s="25" t="s">
        <v>67</v>
      </c>
    </row>
    <row r="42" spans="1:17" x14ac:dyDescent="0.2">
      <c r="A42" s="184"/>
      <c r="B42" s="8"/>
      <c r="C42" s="8"/>
    </row>
    <row r="43" spans="1:17" x14ac:dyDescent="0.2">
      <c r="A43" s="184"/>
      <c r="B43" s="8"/>
      <c r="C43" s="8"/>
      <c r="N43" s="26" t="s">
        <v>35</v>
      </c>
      <c r="O43" s="26" t="s">
        <v>494</v>
      </c>
      <c r="P43" s="210" t="s">
        <v>535</v>
      </c>
      <c r="Q43" s="211"/>
    </row>
    <row r="44" spans="1:17" x14ac:dyDescent="0.2">
      <c r="N44" s="25" t="s">
        <v>160</v>
      </c>
      <c r="O44" s="25" t="s">
        <v>479</v>
      </c>
      <c r="P44" s="210"/>
      <c r="Q44" s="211"/>
    </row>
    <row r="45" spans="1:17" x14ac:dyDescent="0.2">
      <c r="N45" s="25" t="s">
        <v>16</v>
      </c>
      <c r="O45" s="25" t="s">
        <v>480</v>
      </c>
      <c r="P45" s="210"/>
      <c r="Q45" s="211"/>
    </row>
    <row r="46" spans="1:17" x14ac:dyDescent="0.2">
      <c r="N46" s="25" t="s">
        <v>487</v>
      </c>
      <c r="O46" s="25" t="s">
        <v>488</v>
      </c>
      <c r="P46" s="210"/>
      <c r="Q46" s="211"/>
    </row>
    <row r="47" spans="1:17" x14ac:dyDescent="0.2">
      <c r="N47" s="83" t="s">
        <v>41</v>
      </c>
      <c r="O47" s="25" t="s">
        <v>496</v>
      </c>
    </row>
    <row r="48" spans="1:17" x14ac:dyDescent="0.2">
      <c r="N48" s="83" t="s">
        <v>41</v>
      </c>
      <c r="O48" s="25" t="s">
        <v>42</v>
      </c>
    </row>
    <row r="50" spans="14:17" x14ac:dyDescent="0.2">
      <c r="N50" s="26" t="s">
        <v>35</v>
      </c>
      <c r="O50" s="26" t="s">
        <v>494</v>
      </c>
    </row>
    <row r="51" spans="14:17" x14ac:dyDescent="0.2">
      <c r="N51" s="25" t="s">
        <v>160</v>
      </c>
      <c r="O51" s="25" t="s">
        <v>479</v>
      </c>
      <c r="P51" s="84"/>
      <c r="Q51" s="85"/>
    </row>
    <row r="52" spans="14:17" x14ac:dyDescent="0.2">
      <c r="N52" s="25" t="s">
        <v>16</v>
      </c>
      <c r="O52" s="25" t="s">
        <v>480</v>
      </c>
      <c r="P52" s="84"/>
      <c r="Q52" s="85"/>
    </row>
    <row r="53" spans="14:17" x14ac:dyDescent="0.2">
      <c r="N53" s="25" t="s">
        <v>489</v>
      </c>
      <c r="O53" s="25" t="s">
        <v>455</v>
      </c>
      <c r="P53" s="84"/>
      <c r="Q53" s="85"/>
    </row>
    <row r="54" spans="14:17" x14ac:dyDescent="0.2">
      <c r="N54" s="83" t="s">
        <v>41</v>
      </c>
      <c r="O54" s="25" t="s">
        <v>496</v>
      </c>
      <c r="P54" s="84"/>
      <c r="Q54" s="85"/>
    </row>
    <row r="55" spans="14:17" x14ac:dyDescent="0.2">
      <c r="N55" s="83" t="s">
        <v>41</v>
      </c>
      <c r="O55" s="25" t="s">
        <v>42</v>
      </c>
    </row>
    <row r="56" spans="14:17" x14ac:dyDescent="0.2">
      <c r="N56" s="39"/>
      <c r="O56" s="39"/>
    </row>
    <row r="57" spans="14:17" ht="12.75" customHeight="1" x14ac:dyDescent="0.2">
      <c r="N57" s="26" t="s">
        <v>35</v>
      </c>
      <c r="O57" s="26" t="s">
        <v>494</v>
      </c>
    </row>
    <row r="58" spans="14:17" x14ac:dyDescent="0.2">
      <c r="N58" s="25" t="s">
        <v>160</v>
      </c>
      <c r="O58" s="25" t="s">
        <v>479</v>
      </c>
    </row>
    <row r="59" spans="14:17" x14ac:dyDescent="0.2">
      <c r="N59" s="25" t="s">
        <v>115</v>
      </c>
      <c r="O59" s="25" t="s">
        <v>434</v>
      </c>
    </row>
    <row r="60" spans="14:17" x14ac:dyDescent="0.2">
      <c r="N60" s="25" t="s">
        <v>483</v>
      </c>
      <c r="O60" s="25" t="s">
        <v>61</v>
      </c>
    </row>
    <row r="61" spans="14:17" x14ac:dyDescent="0.2">
      <c r="N61" s="83" t="s">
        <v>41</v>
      </c>
      <c r="O61" s="25" t="s">
        <v>496</v>
      </c>
    </row>
    <row r="62" spans="14:17" x14ac:dyDescent="0.2">
      <c r="N62" s="83" t="s">
        <v>41</v>
      </c>
      <c r="O62" s="25" t="s">
        <v>42</v>
      </c>
    </row>
    <row r="63" spans="14:17" x14ac:dyDescent="0.2">
      <c r="N63" s="39"/>
      <c r="O63" s="39"/>
    </row>
    <row r="64" spans="14:17" x14ac:dyDescent="0.2">
      <c r="N64" s="26" t="s">
        <v>35</v>
      </c>
      <c r="O64" s="26" t="s">
        <v>494</v>
      </c>
      <c r="P64" s="212" t="s">
        <v>497</v>
      </c>
      <c r="Q64" s="213"/>
    </row>
    <row r="65" spans="14:17" x14ac:dyDescent="0.2">
      <c r="N65" s="25" t="s">
        <v>160</v>
      </c>
      <c r="O65" s="25" t="s">
        <v>479</v>
      </c>
      <c r="P65" s="212"/>
      <c r="Q65" s="213"/>
    </row>
    <row r="66" spans="14:17" x14ac:dyDescent="0.2">
      <c r="N66" s="25" t="s">
        <v>115</v>
      </c>
      <c r="O66" s="25" t="s">
        <v>434</v>
      </c>
      <c r="P66" s="212"/>
      <c r="Q66" s="213"/>
    </row>
    <row r="67" spans="14:17" x14ac:dyDescent="0.2">
      <c r="N67" s="25" t="s">
        <v>485</v>
      </c>
      <c r="O67" s="25" t="s">
        <v>484</v>
      </c>
      <c r="P67" s="212"/>
      <c r="Q67" s="213"/>
    </row>
    <row r="68" spans="14:17" x14ac:dyDescent="0.2">
      <c r="N68" s="83" t="s">
        <v>41</v>
      </c>
      <c r="O68" s="25" t="s">
        <v>496</v>
      </c>
    </row>
    <row r="69" spans="14:17" x14ac:dyDescent="0.2">
      <c r="N69" s="83" t="s">
        <v>41</v>
      </c>
      <c r="O69" s="25" t="s">
        <v>42</v>
      </c>
    </row>
    <row r="70" spans="14:17" x14ac:dyDescent="0.2">
      <c r="N70" s="39"/>
      <c r="O70" s="39"/>
    </row>
    <row r="71" spans="14:17" x14ac:dyDescent="0.2">
      <c r="N71" s="26" t="s">
        <v>35</v>
      </c>
      <c r="O71" s="26" t="s">
        <v>494</v>
      </c>
    </row>
    <row r="72" spans="14:17" x14ac:dyDescent="0.2">
      <c r="N72" s="25" t="s">
        <v>160</v>
      </c>
      <c r="O72" s="25" t="s">
        <v>479</v>
      </c>
    </row>
    <row r="73" spans="14:17" x14ac:dyDescent="0.2">
      <c r="N73" s="25" t="s">
        <v>115</v>
      </c>
      <c r="O73" s="25" t="s">
        <v>434</v>
      </c>
    </row>
    <row r="74" spans="14:17" x14ac:dyDescent="0.2">
      <c r="N74" s="25" t="s">
        <v>28</v>
      </c>
      <c r="O74" s="25" t="s">
        <v>486</v>
      </c>
    </row>
    <row r="75" spans="14:17" x14ac:dyDescent="0.2">
      <c r="N75" s="83" t="s">
        <v>41</v>
      </c>
      <c r="O75" s="25" t="s">
        <v>496</v>
      </c>
    </row>
    <row r="76" spans="14:17" x14ac:dyDescent="0.2">
      <c r="N76" s="83" t="s">
        <v>41</v>
      </c>
      <c r="O76" s="25" t="s">
        <v>42</v>
      </c>
    </row>
    <row r="77" spans="14:17" x14ac:dyDescent="0.2">
      <c r="N77" s="39"/>
      <c r="O77" s="39"/>
    </row>
    <row r="78" spans="14:17" x14ac:dyDescent="0.2">
      <c r="N78" s="26" t="s">
        <v>35</v>
      </c>
      <c r="O78" s="26" t="s">
        <v>494</v>
      </c>
    </row>
    <row r="79" spans="14:17" x14ac:dyDescent="0.2">
      <c r="N79" s="25" t="s">
        <v>160</v>
      </c>
      <c r="O79" s="25" t="s">
        <v>479</v>
      </c>
    </row>
    <row r="80" spans="14:17" x14ac:dyDescent="0.2">
      <c r="N80" s="25" t="s">
        <v>115</v>
      </c>
      <c r="O80" s="25" t="s">
        <v>434</v>
      </c>
    </row>
    <row r="81" spans="14:15" x14ac:dyDescent="0.2">
      <c r="N81" s="25" t="s">
        <v>487</v>
      </c>
      <c r="O81" s="25" t="s">
        <v>488</v>
      </c>
    </row>
    <row r="82" spans="14:15" x14ac:dyDescent="0.2">
      <c r="N82" s="83" t="s">
        <v>41</v>
      </c>
      <c r="O82" s="25" t="s">
        <v>496</v>
      </c>
    </row>
    <row r="83" spans="14:15" x14ac:dyDescent="0.2">
      <c r="N83" s="83" t="s">
        <v>41</v>
      </c>
      <c r="O83" s="25" t="s">
        <v>42</v>
      </c>
    </row>
    <row r="84" spans="14:15" x14ac:dyDescent="0.2">
      <c r="N84" s="39"/>
      <c r="O84" s="39"/>
    </row>
    <row r="85" spans="14:15" x14ac:dyDescent="0.2">
      <c r="N85" s="26" t="s">
        <v>35</v>
      </c>
      <c r="O85" s="26" t="s">
        <v>494</v>
      </c>
    </row>
    <row r="86" spans="14:15" x14ac:dyDescent="0.2">
      <c r="N86" s="25" t="s">
        <v>160</v>
      </c>
      <c r="O86" s="25" t="s">
        <v>479</v>
      </c>
    </row>
    <row r="87" spans="14:15" x14ac:dyDescent="0.2">
      <c r="N87" s="25" t="s">
        <v>115</v>
      </c>
      <c r="O87" s="25" t="s">
        <v>434</v>
      </c>
    </row>
    <row r="88" spans="14:15" x14ac:dyDescent="0.2">
      <c r="N88" s="25" t="s">
        <v>489</v>
      </c>
      <c r="O88" s="25" t="s">
        <v>455</v>
      </c>
    </row>
    <row r="89" spans="14:15" x14ac:dyDescent="0.2">
      <c r="N89" s="83" t="s">
        <v>41</v>
      </c>
      <c r="O89" s="25" t="s">
        <v>496</v>
      </c>
    </row>
    <row r="90" spans="14:15" x14ac:dyDescent="0.2">
      <c r="N90" s="83" t="s">
        <v>41</v>
      </c>
      <c r="O90" s="25" t="s">
        <v>42</v>
      </c>
    </row>
    <row r="91" spans="14:15" x14ac:dyDescent="0.2">
      <c r="N91" s="39"/>
      <c r="O91" s="39"/>
    </row>
    <row r="92" spans="14:15" x14ac:dyDescent="0.2">
      <c r="N92" s="26" t="s">
        <v>35</v>
      </c>
      <c r="O92" s="26" t="s">
        <v>494</v>
      </c>
    </row>
    <row r="93" spans="14:15" x14ac:dyDescent="0.2">
      <c r="N93" s="25" t="s">
        <v>160</v>
      </c>
      <c r="O93" s="25" t="s">
        <v>479</v>
      </c>
    </row>
    <row r="94" spans="14:15" x14ac:dyDescent="0.2">
      <c r="N94" s="25" t="s">
        <v>483</v>
      </c>
      <c r="O94" s="25" t="s">
        <v>61</v>
      </c>
    </row>
    <row r="95" spans="14:15" x14ac:dyDescent="0.2">
      <c r="N95" s="25" t="s">
        <v>485</v>
      </c>
      <c r="O95" s="25" t="s">
        <v>484</v>
      </c>
    </row>
    <row r="96" spans="14:15" x14ac:dyDescent="0.2">
      <c r="N96" s="83" t="s">
        <v>41</v>
      </c>
      <c r="O96" s="25" t="s">
        <v>496</v>
      </c>
    </row>
    <row r="97" spans="14:17" x14ac:dyDescent="0.2">
      <c r="N97" s="83" t="s">
        <v>41</v>
      </c>
      <c r="O97" s="25" t="s">
        <v>42</v>
      </c>
    </row>
    <row r="98" spans="14:17" x14ac:dyDescent="0.2">
      <c r="N98" s="39"/>
      <c r="O98" s="39"/>
    </row>
    <row r="99" spans="14:17" x14ac:dyDescent="0.2">
      <c r="N99" s="26" t="s">
        <v>35</v>
      </c>
      <c r="O99" s="26" t="s">
        <v>494</v>
      </c>
    </row>
    <row r="100" spans="14:17" x14ac:dyDescent="0.2">
      <c r="N100" s="25" t="s">
        <v>160</v>
      </c>
      <c r="O100" s="25" t="s">
        <v>479</v>
      </c>
    </row>
    <row r="101" spans="14:17" x14ac:dyDescent="0.2">
      <c r="N101" s="25" t="s">
        <v>483</v>
      </c>
      <c r="O101" s="25" t="s">
        <v>61</v>
      </c>
    </row>
    <row r="102" spans="14:17" x14ac:dyDescent="0.2">
      <c r="N102" s="25" t="s">
        <v>28</v>
      </c>
      <c r="O102" s="25" t="s">
        <v>486</v>
      </c>
    </row>
    <row r="103" spans="14:17" x14ac:dyDescent="0.2">
      <c r="N103" s="83" t="s">
        <v>41</v>
      </c>
      <c r="O103" s="25" t="s">
        <v>496</v>
      </c>
    </row>
    <row r="104" spans="14:17" x14ac:dyDescent="0.2">
      <c r="N104" s="83" t="s">
        <v>41</v>
      </c>
      <c r="O104" s="25" t="s">
        <v>42</v>
      </c>
    </row>
    <row r="106" spans="14:17" x14ac:dyDescent="0.2">
      <c r="N106" s="26" t="s">
        <v>35</v>
      </c>
      <c r="O106" s="26" t="s">
        <v>494</v>
      </c>
      <c r="P106" s="210" t="s">
        <v>535</v>
      </c>
      <c r="Q106" s="211"/>
    </row>
    <row r="107" spans="14:17" x14ac:dyDescent="0.2">
      <c r="N107" s="25" t="s">
        <v>160</v>
      </c>
      <c r="O107" s="25" t="s">
        <v>479</v>
      </c>
      <c r="P107" s="210"/>
      <c r="Q107" s="211"/>
    </row>
    <row r="108" spans="14:17" x14ac:dyDescent="0.2">
      <c r="N108" s="25" t="s">
        <v>483</v>
      </c>
      <c r="O108" s="25" t="s">
        <v>61</v>
      </c>
      <c r="P108" s="210"/>
      <c r="Q108" s="211"/>
    </row>
    <row r="109" spans="14:17" x14ac:dyDescent="0.2">
      <c r="N109" s="25" t="s">
        <v>487</v>
      </c>
      <c r="O109" s="25" t="s">
        <v>488</v>
      </c>
      <c r="P109" s="210"/>
      <c r="Q109" s="211"/>
    </row>
    <row r="110" spans="14:17" x14ac:dyDescent="0.2">
      <c r="N110" s="83" t="s">
        <v>41</v>
      </c>
      <c r="O110" s="25" t="s">
        <v>496</v>
      </c>
    </row>
    <row r="111" spans="14:17" x14ac:dyDescent="0.2">
      <c r="N111" s="83" t="s">
        <v>41</v>
      </c>
      <c r="O111" s="25" t="s">
        <v>42</v>
      </c>
    </row>
    <row r="113" spans="14:15" x14ac:dyDescent="0.2">
      <c r="N113" s="26" t="s">
        <v>35</v>
      </c>
      <c r="O113" s="26" t="s">
        <v>494</v>
      </c>
    </row>
    <row r="114" spans="14:15" x14ac:dyDescent="0.2">
      <c r="N114" s="25" t="s">
        <v>160</v>
      </c>
      <c r="O114" s="25" t="s">
        <v>479</v>
      </c>
    </row>
    <row r="115" spans="14:15" x14ac:dyDescent="0.2">
      <c r="N115" s="25" t="s">
        <v>483</v>
      </c>
      <c r="O115" s="25" t="s">
        <v>61</v>
      </c>
    </row>
    <row r="116" spans="14:15" x14ac:dyDescent="0.2">
      <c r="N116" s="25" t="s">
        <v>489</v>
      </c>
      <c r="O116" s="25" t="s">
        <v>455</v>
      </c>
    </row>
    <row r="117" spans="14:15" x14ac:dyDescent="0.2">
      <c r="N117" s="83" t="s">
        <v>41</v>
      </c>
      <c r="O117" s="25" t="s">
        <v>496</v>
      </c>
    </row>
    <row r="118" spans="14:15" x14ac:dyDescent="0.2">
      <c r="N118" s="83" t="s">
        <v>41</v>
      </c>
      <c r="O118" s="25" t="s">
        <v>42</v>
      </c>
    </row>
    <row r="119" spans="14:15" x14ac:dyDescent="0.2">
      <c r="N119" s="39"/>
      <c r="O119" s="39"/>
    </row>
    <row r="120" spans="14:15" x14ac:dyDescent="0.2">
      <c r="N120" s="26" t="s">
        <v>35</v>
      </c>
      <c r="O120" s="26" t="s">
        <v>494</v>
      </c>
    </row>
    <row r="121" spans="14:15" x14ac:dyDescent="0.2">
      <c r="N121" s="25" t="s">
        <v>160</v>
      </c>
      <c r="O121" s="25" t="s">
        <v>479</v>
      </c>
    </row>
    <row r="122" spans="14:15" x14ac:dyDescent="0.2">
      <c r="N122" s="25" t="s">
        <v>485</v>
      </c>
      <c r="O122" s="25" t="s">
        <v>484</v>
      </c>
    </row>
    <row r="123" spans="14:15" x14ac:dyDescent="0.2">
      <c r="N123" s="25" t="s">
        <v>28</v>
      </c>
      <c r="O123" s="25" t="s">
        <v>486</v>
      </c>
    </row>
    <row r="124" spans="14:15" x14ac:dyDescent="0.2">
      <c r="N124" s="83" t="s">
        <v>41</v>
      </c>
      <c r="O124" s="25" t="s">
        <v>496</v>
      </c>
    </row>
    <row r="125" spans="14:15" x14ac:dyDescent="0.2">
      <c r="N125" s="83" t="s">
        <v>41</v>
      </c>
      <c r="O125" s="25" t="s">
        <v>42</v>
      </c>
    </row>
    <row r="126" spans="14:15" x14ac:dyDescent="0.2">
      <c r="N126" s="39"/>
      <c r="O126" s="39"/>
    </row>
    <row r="127" spans="14:15" x14ac:dyDescent="0.2">
      <c r="N127" s="26" t="s">
        <v>35</v>
      </c>
      <c r="O127" s="26" t="s">
        <v>494</v>
      </c>
    </row>
    <row r="128" spans="14:15" x14ac:dyDescent="0.2">
      <c r="N128" s="25" t="s">
        <v>160</v>
      </c>
      <c r="O128" s="25" t="s">
        <v>479</v>
      </c>
    </row>
    <row r="129" spans="14:15" x14ac:dyDescent="0.2">
      <c r="N129" s="25" t="s">
        <v>485</v>
      </c>
      <c r="O129" s="25" t="s">
        <v>484</v>
      </c>
    </row>
    <row r="130" spans="14:15" x14ac:dyDescent="0.2">
      <c r="N130" s="25" t="s">
        <v>487</v>
      </c>
      <c r="O130" s="25" t="s">
        <v>488</v>
      </c>
    </row>
    <row r="131" spans="14:15" x14ac:dyDescent="0.2">
      <c r="N131" s="83" t="s">
        <v>41</v>
      </c>
      <c r="O131" s="25" t="s">
        <v>496</v>
      </c>
    </row>
    <row r="132" spans="14:15" x14ac:dyDescent="0.2">
      <c r="N132" s="83" t="s">
        <v>41</v>
      </c>
      <c r="O132" s="25" t="s">
        <v>42</v>
      </c>
    </row>
    <row r="133" spans="14:15" x14ac:dyDescent="0.2">
      <c r="N133" s="39"/>
      <c r="O133" s="39"/>
    </row>
    <row r="134" spans="14:15" x14ac:dyDescent="0.2">
      <c r="N134" s="26" t="s">
        <v>35</v>
      </c>
      <c r="O134" s="26" t="s">
        <v>494</v>
      </c>
    </row>
    <row r="135" spans="14:15" x14ac:dyDescent="0.2">
      <c r="N135" s="25" t="s">
        <v>160</v>
      </c>
      <c r="O135" s="25" t="s">
        <v>479</v>
      </c>
    </row>
    <row r="136" spans="14:15" x14ac:dyDescent="0.2">
      <c r="N136" s="25" t="s">
        <v>485</v>
      </c>
      <c r="O136" s="25" t="s">
        <v>484</v>
      </c>
    </row>
    <row r="137" spans="14:15" x14ac:dyDescent="0.2">
      <c r="N137" s="25" t="s">
        <v>489</v>
      </c>
      <c r="O137" s="25" t="s">
        <v>455</v>
      </c>
    </row>
    <row r="138" spans="14:15" x14ac:dyDescent="0.2">
      <c r="N138" s="83" t="s">
        <v>41</v>
      </c>
      <c r="O138" s="25" t="s">
        <v>496</v>
      </c>
    </row>
    <row r="139" spans="14:15" x14ac:dyDescent="0.2">
      <c r="N139" s="83" t="s">
        <v>41</v>
      </c>
      <c r="O139" s="25" t="s">
        <v>42</v>
      </c>
    </row>
    <row r="140" spans="14:15" x14ac:dyDescent="0.2">
      <c r="N140" s="39"/>
      <c r="O140" s="39"/>
    </row>
    <row r="141" spans="14:15" x14ac:dyDescent="0.2">
      <c r="N141" s="26" t="s">
        <v>35</v>
      </c>
      <c r="O141" s="26" t="s">
        <v>494</v>
      </c>
    </row>
    <row r="142" spans="14:15" x14ac:dyDescent="0.2">
      <c r="N142" s="25" t="s">
        <v>160</v>
      </c>
      <c r="O142" s="25" t="s">
        <v>479</v>
      </c>
    </row>
    <row r="143" spans="14:15" x14ac:dyDescent="0.2">
      <c r="N143" s="25" t="s">
        <v>28</v>
      </c>
      <c r="O143" s="25" t="s">
        <v>486</v>
      </c>
    </row>
    <row r="144" spans="14:15" x14ac:dyDescent="0.2">
      <c r="N144" s="25" t="s">
        <v>487</v>
      </c>
      <c r="O144" s="25" t="s">
        <v>488</v>
      </c>
    </row>
    <row r="145" spans="14:15" x14ac:dyDescent="0.2">
      <c r="N145" s="83" t="s">
        <v>41</v>
      </c>
      <c r="O145" s="25" t="s">
        <v>496</v>
      </c>
    </row>
    <row r="146" spans="14:15" x14ac:dyDescent="0.2">
      <c r="N146" s="83" t="s">
        <v>41</v>
      </c>
      <c r="O146" s="25" t="s">
        <v>42</v>
      </c>
    </row>
    <row r="147" spans="14:15" x14ac:dyDescent="0.2">
      <c r="N147" s="39"/>
      <c r="O147" s="39"/>
    </row>
    <row r="148" spans="14:15" x14ac:dyDescent="0.2">
      <c r="N148" s="26" t="s">
        <v>35</v>
      </c>
      <c r="O148" s="26" t="s">
        <v>494</v>
      </c>
    </row>
    <row r="149" spans="14:15" x14ac:dyDescent="0.2">
      <c r="N149" s="25" t="s">
        <v>160</v>
      </c>
      <c r="O149" s="25" t="s">
        <v>479</v>
      </c>
    </row>
    <row r="150" spans="14:15" x14ac:dyDescent="0.2">
      <c r="N150" s="25" t="s">
        <v>28</v>
      </c>
      <c r="O150" s="25" t="s">
        <v>486</v>
      </c>
    </row>
    <row r="151" spans="14:15" x14ac:dyDescent="0.2">
      <c r="N151" s="25" t="s">
        <v>489</v>
      </c>
      <c r="O151" s="25" t="s">
        <v>455</v>
      </c>
    </row>
    <row r="152" spans="14:15" x14ac:dyDescent="0.2">
      <c r="N152" s="83" t="s">
        <v>41</v>
      </c>
      <c r="O152" s="25" t="s">
        <v>496</v>
      </c>
    </row>
    <row r="153" spans="14:15" x14ac:dyDescent="0.2">
      <c r="N153" s="83" t="s">
        <v>41</v>
      </c>
      <c r="O153" s="25" t="s">
        <v>42</v>
      </c>
    </row>
    <row r="154" spans="14:15" x14ac:dyDescent="0.2">
      <c r="N154" s="39"/>
      <c r="O154" s="39"/>
    </row>
    <row r="155" spans="14:15" x14ac:dyDescent="0.2">
      <c r="N155" s="26" t="s">
        <v>35</v>
      </c>
      <c r="O155" s="26" t="s">
        <v>494</v>
      </c>
    </row>
    <row r="156" spans="14:15" x14ac:dyDescent="0.2">
      <c r="N156" s="25" t="s">
        <v>160</v>
      </c>
      <c r="O156" s="25" t="s">
        <v>479</v>
      </c>
    </row>
    <row r="157" spans="14:15" x14ac:dyDescent="0.2">
      <c r="N157" s="25" t="s">
        <v>487</v>
      </c>
      <c r="O157" s="25" t="s">
        <v>488</v>
      </c>
    </row>
    <row r="158" spans="14:15" x14ac:dyDescent="0.2">
      <c r="N158" s="25" t="s">
        <v>489</v>
      </c>
      <c r="O158" s="25" t="s">
        <v>455</v>
      </c>
    </row>
    <row r="159" spans="14:15" x14ac:dyDescent="0.2">
      <c r="N159" s="83" t="s">
        <v>41</v>
      </c>
      <c r="O159" s="25" t="s">
        <v>496</v>
      </c>
    </row>
    <row r="160" spans="14:15" x14ac:dyDescent="0.2">
      <c r="N160" s="83" t="s">
        <v>41</v>
      </c>
      <c r="O160" s="25" t="s">
        <v>42</v>
      </c>
    </row>
    <row r="162" spans="14:15" x14ac:dyDescent="0.2">
      <c r="N162" s="26" t="s">
        <v>35</v>
      </c>
      <c r="O162" s="26" t="s">
        <v>494</v>
      </c>
    </row>
    <row r="163" spans="14:15" x14ac:dyDescent="0.2">
      <c r="N163" s="25" t="s">
        <v>16</v>
      </c>
      <c r="O163" s="25" t="s">
        <v>480</v>
      </c>
    </row>
    <row r="164" spans="14:15" x14ac:dyDescent="0.2">
      <c r="N164" s="25" t="s">
        <v>115</v>
      </c>
      <c r="O164" s="25" t="s">
        <v>434</v>
      </c>
    </row>
    <row r="165" spans="14:15" x14ac:dyDescent="0.2">
      <c r="N165" s="25" t="s">
        <v>483</v>
      </c>
      <c r="O165" s="25" t="s">
        <v>61</v>
      </c>
    </row>
    <row r="166" spans="14:15" x14ac:dyDescent="0.2">
      <c r="N166" s="83" t="s">
        <v>41</v>
      </c>
      <c r="O166" s="25" t="s">
        <v>496</v>
      </c>
    </row>
    <row r="167" spans="14:15" x14ac:dyDescent="0.2">
      <c r="N167" s="83" t="s">
        <v>41</v>
      </c>
      <c r="O167" s="25" t="s">
        <v>42</v>
      </c>
    </row>
    <row r="169" spans="14:15" x14ac:dyDescent="0.2">
      <c r="N169" s="26" t="s">
        <v>35</v>
      </c>
      <c r="O169" s="26" t="s">
        <v>494</v>
      </c>
    </row>
    <row r="170" spans="14:15" x14ac:dyDescent="0.2">
      <c r="N170" s="25" t="s">
        <v>16</v>
      </c>
      <c r="O170" s="25" t="s">
        <v>480</v>
      </c>
    </row>
    <row r="171" spans="14:15" x14ac:dyDescent="0.2">
      <c r="N171" s="25" t="s">
        <v>115</v>
      </c>
      <c r="O171" s="25" t="s">
        <v>434</v>
      </c>
    </row>
    <row r="172" spans="14:15" x14ac:dyDescent="0.2">
      <c r="N172" s="25" t="s">
        <v>485</v>
      </c>
      <c r="O172" s="25" t="s">
        <v>484</v>
      </c>
    </row>
    <row r="173" spans="14:15" x14ac:dyDescent="0.2">
      <c r="N173" s="83" t="s">
        <v>41</v>
      </c>
      <c r="O173" s="25" t="s">
        <v>496</v>
      </c>
    </row>
    <row r="174" spans="14:15" x14ac:dyDescent="0.2">
      <c r="N174" s="83" t="s">
        <v>41</v>
      </c>
      <c r="O174" s="25" t="s">
        <v>42</v>
      </c>
    </row>
    <row r="176" spans="14:15" x14ac:dyDescent="0.2">
      <c r="N176" s="26" t="s">
        <v>35</v>
      </c>
      <c r="O176" s="26" t="s">
        <v>494</v>
      </c>
    </row>
    <row r="177" spans="14:15" x14ac:dyDescent="0.2">
      <c r="N177" s="25" t="s">
        <v>16</v>
      </c>
      <c r="O177" s="25" t="s">
        <v>480</v>
      </c>
    </row>
    <row r="178" spans="14:15" x14ac:dyDescent="0.2">
      <c r="N178" s="25" t="s">
        <v>115</v>
      </c>
      <c r="O178" s="25" t="s">
        <v>434</v>
      </c>
    </row>
    <row r="179" spans="14:15" x14ac:dyDescent="0.2">
      <c r="N179" s="25" t="s">
        <v>28</v>
      </c>
      <c r="O179" s="25" t="s">
        <v>486</v>
      </c>
    </row>
    <row r="180" spans="14:15" x14ac:dyDescent="0.2">
      <c r="N180" s="83" t="s">
        <v>41</v>
      </c>
      <c r="O180" s="25" t="s">
        <v>496</v>
      </c>
    </row>
    <row r="181" spans="14:15" x14ac:dyDescent="0.2">
      <c r="N181" s="83" t="s">
        <v>41</v>
      </c>
      <c r="O181" s="25" t="s">
        <v>42</v>
      </c>
    </row>
    <row r="183" spans="14:15" x14ac:dyDescent="0.2">
      <c r="N183" s="26" t="s">
        <v>35</v>
      </c>
      <c r="O183" s="26" t="s">
        <v>494</v>
      </c>
    </row>
    <row r="184" spans="14:15" x14ac:dyDescent="0.2">
      <c r="N184" s="25" t="s">
        <v>16</v>
      </c>
      <c r="O184" s="25" t="s">
        <v>480</v>
      </c>
    </row>
    <row r="185" spans="14:15" x14ac:dyDescent="0.2">
      <c r="N185" s="25" t="s">
        <v>115</v>
      </c>
      <c r="O185" s="25" t="s">
        <v>434</v>
      </c>
    </row>
    <row r="186" spans="14:15" x14ac:dyDescent="0.2">
      <c r="N186" s="25" t="s">
        <v>487</v>
      </c>
      <c r="O186" s="25" t="s">
        <v>488</v>
      </c>
    </row>
    <row r="187" spans="14:15" x14ac:dyDescent="0.2">
      <c r="N187" s="83" t="s">
        <v>41</v>
      </c>
      <c r="O187" s="25" t="s">
        <v>496</v>
      </c>
    </row>
    <row r="188" spans="14:15" x14ac:dyDescent="0.2">
      <c r="N188" s="83" t="s">
        <v>41</v>
      </c>
      <c r="O188" s="25" t="s">
        <v>42</v>
      </c>
    </row>
    <row r="190" spans="14:15" x14ac:dyDescent="0.2">
      <c r="N190" s="26" t="s">
        <v>35</v>
      </c>
      <c r="O190" s="26" t="s">
        <v>494</v>
      </c>
    </row>
    <row r="191" spans="14:15" x14ac:dyDescent="0.2">
      <c r="N191" s="25" t="s">
        <v>16</v>
      </c>
      <c r="O191" s="25" t="s">
        <v>480</v>
      </c>
    </row>
    <row r="192" spans="14:15" x14ac:dyDescent="0.2">
      <c r="N192" s="25" t="s">
        <v>115</v>
      </c>
      <c r="O192" s="25" t="s">
        <v>434</v>
      </c>
    </row>
    <row r="193" spans="14:15" x14ac:dyDescent="0.2">
      <c r="N193" s="25" t="s">
        <v>489</v>
      </c>
      <c r="O193" s="25" t="s">
        <v>455</v>
      </c>
    </row>
    <row r="194" spans="14:15" x14ac:dyDescent="0.2">
      <c r="N194" s="83" t="s">
        <v>41</v>
      </c>
      <c r="O194" s="25" t="s">
        <v>496</v>
      </c>
    </row>
    <row r="195" spans="14:15" x14ac:dyDescent="0.2">
      <c r="N195" s="83" t="s">
        <v>41</v>
      </c>
      <c r="O195" s="25" t="s">
        <v>42</v>
      </c>
    </row>
    <row r="197" spans="14:15" x14ac:dyDescent="0.2">
      <c r="N197" s="26" t="s">
        <v>35</v>
      </c>
      <c r="O197" s="26" t="s">
        <v>494</v>
      </c>
    </row>
    <row r="198" spans="14:15" x14ac:dyDescent="0.2">
      <c r="N198" s="25" t="s">
        <v>16</v>
      </c>
      <c r="O198" s="25" t="s">
        <v>480</v>
      </c>
    </row>
    <row r="199" spans="14:15" x14ac:dyDescent="0.2">
      <c r="N199" s="25" t="s">
        <v>483</v>
      </c>
      <c r="O199" s="25" t="s">
        <v>61</v>
      </c>
    </row>
    <row r="200" spans="14:15" x14ac:dyDescent="0.2">
      <c r="N200" s="25" t="s">
        <v>485</v>
      </c>
      <c r="O200" s="25" t="s">
        <v>484</v>
      </c>
    </row>
    <row r="201" spans="14:15" x14ac:dyDescent="0.2">
      <c r="N201" s="83" t="s">
        <v>41</v>
      </c>
      <c r="O201" s="25" t="s">
        <v>496</v>
      </c>
    </row>
    <row r="202" spans="14:15" x14ac:dyDescent="0.2">
      <c r="N202" s="83" t="s">
        <v>41</v>
      </c>
      <c r="O202" s="25" t="s">
        <v>42</v>
      </c>
    </row>
    <row r="204" spans="14:15" x14ac:dyDescent="0.2">
      <c r="N204" s="26" t="s">
        <v>35</v>
      </c>
      <c r="O204" s="26" t="s">
        <v>494</v>
      </c>
    </row>
    <row r="205" spans="14:15" x14ac:dyDescent="0.2">
      <c r="N205" s="25" t="s">
        <v>16</v>
      </c>
      <c r="O205" s="25" t="s">
        <v>480</v>
      </c>
    </row>
    <row r="206" spans="14:15" x14ac:dyDescent="0.2">
      <c r="N206" s="25" t="s">
        <v>483</v>
      </c>
      <c r="O206" s="25" t="s">
        <v>61</v>
      </c>
    </row>
    <row r="207" spans="14:15" x14ac:dyDescent="0.2">
      <c r="N207" s="25" t="s">
        <v>28</v>
      </c>
      <c r="O207" s="25" t="s">
        <v>486</v>
      </c>
    </row>
    <row r="208" spans="14:15" x14ac:dyDescent="0.2">
      <c r="N208" s="83" t="s">
        <v>41</v>
      </c>
      <c r="O208" s="25" t="s">
        <v>496</v>
      </c>
    </row>
    <row r="209" spans="14:17" x14ac:dyDescent="0.2">
      <c r="N209" s="83" t="s">
        <v>41</v>
      </c>
      <c r="O209" s="25" t="s">
        <v>42</v>
      </c>
    </row>
    <row r="211" spans="14:17" x14ac:dyDescent="0.2">
      <c r="N211" s="26" t="s">
        <v>35</v>
      </c>
      <c r="O211" s="26" t="s">
        <v>494</v>
      </c>
      <c r="P211" s="210" t="s">
        <v>535</v>
      </c>
      <c r="Q211" s="211"/>
    </row>
    <row r="212" spans="14:17" x14ac:dyDescent="0.2">
      <c r="N212" s="25" t="s">
        <v>16</v>
      </c>
      <c r="O212" s="25" t="s">
        <v>480</v>
      </c>
      <c r="P212" s="210"/>
      <c r="Q212" s="211"/>
    </row>
    <row r="213" spans="14:17" x14ac:dyDescent="0.2">
      <c r="N213" s="25" t="s">
        <v>483</v>
      </c>
      <c r="O213" s="25" t="s">
        <v>61</v>
      </c>
      <c r="P213" s="210"/>
      <c r="Q213" s="211"/>
    </row>
    <row r="214" spans="14:17" x14ac:dyDescent="0.2">
      <c r="N214" s="25" t="s">
        <v>487</v>
      </c>
      <c r="O214" s="25" t="s">
        <v>488</v>
      </c>
      <c r="P214" s="210"/>
      <c r="Q214" s="211"/>
    </row>
    <row r="215" spans="14:17" x14ac:dyDescent="0.2">
      <c r="N215" s="83" t="s">
        <v>41</v>
      </c>
      <c r="O215" s="25" t="s">
        <v>496</v>
      </c>
    </row>
    <row r="216" spans="14:17" x14ac:dyDescent="0.2">
      <c r="N216" s="83" t="s">
        <v>41</v>
      </c>
      <c r="O216" s="25" t="s">
        <v>42</v>
      </c>
    </row>
    <row r="218" spans="14:17" x14ac:dyDescent="0.2">
      <c r="N218" s="26" t="s">
        <v>35</v>
      </c>
      <c r="O218" s="26" t="s">
        <v>494</v>
      </c>
    </row>
    <row r="219" spans="14:17" x14ac:dyDescent="0.2">
      <c r="N219" s="25" t="s">
        <v>16</v>
      </c>
      <c r="O219" s="25" t="s">
        <v>480</v>
      </c>
    </row>
    <row r="220" spans="14:17" x14ac:dyDescent="0.2">
      <c r="N220" s="25" t="s">
        <v>483</v>
      </c>
      <c r="O220" s="25" t="s">
        <v>61</v>
      </c>
    </row>
    <row r="221" spans="14:17" x14ac:dyDescent="0.2">
      <c r="N221" s="25" t="s">
        <v>489</v>
      </c>
      <c r="O221" s="25" t="s">
        <v>455</v>
      </c>
    </row>
    <row r="222" spans="14:17" x14ac:dyDescent="0.2">
      <c r="N222" s="83" t="s">
        <v>41</v>
      </c>
      <c r="O222" s="25" t="s">
        <v>496</v>
      </c>
    </row>
    <row r="223" spans="14:17" x14ac:dyDescent="0.2">
      <c r="N223" s="83" t="s">
        <v>41</v>
      </c>
      <c r="O223" s="25" t="s">
        <v>42</v>
      </c>
    </row>
    <row r="225" spans="14:15" x14ac:dyDescent="0.2">
      <c r="N225" s="26" t="s">
        <v>35</v>
      </c>
      <c r="O225" s="26" t="s">
        <v>494</v>
      </c>
    </row>
    <row r="226" spans="14:15" x14ac:dyDescent="0.2">
      <c r="N226" s="25" t="s">
        <v>16</v>
      </c>
      <c r="O226" s="25" t="s">
        <v>480</v>
      </c>
    </row>
    <row r="227" spans="14:15" x14ac:dyDescent="0.2">
      <c r="N227" s="25" t="s">
        <v>485</v>
      </c>
      <c r="O227" s="25" t="s">
        <v>484</v>
      </c>
    </row>
    <row r="228" spans="14:15" x14ac:dyDescent="0.2">
      <c r="N228" s="25" t="s">
        <v>28</v>
      </c>
      <c r="O228" s="25" t="s">
        <v>486</v>
      </c>
    </row>
    <row r="229" spans="14:15" x14ac:dyDescent="0.2">
      <c r="N229" s="83" t="s">
        <v>41</v>
      </c>
      <c r="O229" s="25" t="s">
        <v>496</v>
      </c>
    </row>
    <row r="230" spans="14:15" x14ac:dyDescent="0.2">
      <c r="N230" s="83" t="s">
        <v>41</v>
      </c>
      <c r="O230" s="25" t="s">
        <v>42</v>
      </c>
    </row>
    <row r="232" spans="14:15" x14ac:dyDescent="0.2">
      <c r="N232" s="26" t="s">
        <v>35</v>
      </c>
      <c r="O232" s="26" t="s">
        <v>494</v>
      </c>
    </row>
    <row r="233" spans="14:15" x14ac:dyDescent="0.2">
      <c r="N233" s="25" t="s">
        <v>16</v>
      </c>
      <c r="O233" s="25" t="s">
        <v>480</v>
      </c>
    </row>
    <row r="234" spans="14:15" x14ac:dyDescent="0.2">
      <c r="N234" s="25" t="s">
        <v>485</v>
      </c>
      <c r="O234" s="25" t="s">
        <v>484</v>
      </c>
    </row>
    <row r="235" spans="14:15" x14ac:dyDescent="0.2">
      <c r="N235" s="25" t="s">
        <v>489</v>
      </c>
      <c r="O235" s="25" t="s">
        <v>455</v>
      </c>
    </row>
    <row r="236" spans="14:15" x14ac:dyDescent="0.2">
      <c r="N236" s="83" t="s">
        <v>41</v>
      </c>
      <c r="O236" s="25" t="s">
        <v>496</v>
      </c>
    </row>
    <row r="237" spans="14:15" x14ac:dyDescent="0.2">
      <c r="N237" s="83" t="s">
        <v>41</v>
      </c>
      <c r="O237" s="25" t="s">
        <v>42</v>
      </c>
    </row>
    <row r="239" spans="14:15" x14ac:dyDescent="0.2">
      <c r="N239" s="26" t="s">
        <v>35</v>
      </c>
      <c r="O239" s="26" t="s">
        <v>494</v>
      </c>
    </row>
    <row r="240" spans="14:15" x14ac:dyDescent="0.2">
      <c r="N240" s="25" t="s">
        <v>16</v>
      </c>
      <c r="O240" s="25" t="s">
        <v>480</v>
      </c>
    </row>
    <row r="241" spans="14:15" x14ac:dyDescent="0.2">
      <c r="N241" s="25" t="s">
        <v>28</v>
      </c>
      <c r="O241" s="25" t="s">
        <v>486</v>
      </c>
    </row>
    <row r="242" spans="14:15" x14ac:dyDescent="0.2">
      <c r="N242" s="25" t="s">
        <v>487</v>
      </c>
      <c r="O242" s="25" t="s">
        <v>488</v>
      </c>
    </row>
    <row r="243" spans="14:15" x14ac:dyDescent="0.2">
      <c r="N243" s="83" t="s">
        <v>41</v>
      </c>
      <c r="O243" s="25" t="s">
        <v>496</v>
      </c>
    </row>
    <row r="244" spans="14:15" x14ac:dyDescent="0.2">
      <c r="N244" s="83" t="s">
        <v>41</v>
      </c>
      <c r="O244" s="25" t="s">
        <v>42</v>
      </c>
    </row>
    <row r="246" spans="14:15" x14ac:dyDescent="0.2">
      <c r="N246" s="26" t="s">
        <v>35</v>
      </c>
      <c r="O246" s="26" t="s">
        <v>494</v>
      </c>
    </row>
    <row r="247" spans="14:15" x14ac:dyDescent="0.2">
      <c r="N247" s="25" t="s">
        <v>16</v>
      </c>
      <c r="O247" s="25" t="s">
        <v>480</v>
      </c>
    </row>
    <row r="248" spans="14:15" x14ac:dyDescent="0.2">
      <c r="N248" s="25" t="s">
        <v>28</v>
      </c>
      <c r="O248" s="25" t="s">
        <v>486</v>
      </c>
    </row>
    <row r="249" spans="14:15" x14ac:dyDescent="0.2">
      <c r="N249" s="25" t="s">
        <v>489</v>
      </c>
      <c r="O249" s="25" t="s">
        <v>455</v>
      </c>
    </row>
    <row r="250" spans="14:15" x14ac:dyDescent="0.2">
      <c r="N250" s="83" t="s">
        <v>41</v>
      </c>
      <c r="O250" s="25" t="s">
        <v>496</v>
      </c>
    </row>
    <row r="251" spans="14:15" x14ac:dyDescent="0.2">
      <c r="N251" s="83" t="s">
        <v>41</v>
      </c>
      <c r="O251" s="25" t="s">
        <v>42</v>
      </c>
    </row>
    <row r="253" spans="14:15" x14ac:dyDescent="0.2">
      <c r="N253" s="26" t="s">
        <v>35</v>
      </c>
      <c r="O253" s="26" t="s">
        <v>494</v>
      </c>
    </row>
    <row r="254" spans="14:15" x14ac:dyDescent="0.2">
      <c r="N254" s="25" t="s">
        <v>16</v>
      </c>
      <c r="O254" s="25" t="s">
        <v>480</v>
      </c>
    </row>
    <row r="255" spans="14:15" x14ac:dyDescent="0.2">
      <c r="N255" s="25" t="s">
        <v>487</v>
      </c>
      <c r="O255" s="25" t="s">
        <v>488</v>
      </c>
    </row>
    <row r="256" spans="14:15" x14ac:dyDescent="0.2">
      <c r="N256" s="25" t="s">
        <v>489</v>
      </c>
      <c r="O256" s="25" t="s">
        <v>455</v>
      </c>
    </row>
    <row r="257" spans="14:15" x14ac:dyDescent="0.2">
      <c r="N257" s="83" t="s">
        <v>41</v>
      </c>
      <c r="O257" s="25" t="s">
        <v>496</v>
      </c>
    </row>
    <row r="258" spans="14:15" x14ac:dyDescent="0.2">
      <c r="N258" s="83" t="s">
        <v>41</v>
      </c>
      <c r="O258" s="25" t="s">
        <v>42</v>
      </c>
    </row>
    <row r="260" spans="14:15" x14ac:dyDescent="0.2">
      <c r="N260" s="26" t="s">
        <v>35</v>
      </c>
      <c r="O260" s="26" t="s">
        <v>494</v>
      </c>
    </row>
    <row r="261" spans="14:15" x14ac:dyDescent="0.2">
      <c r="N261" s="25" t="s">
        <v>115</v>
      </c>
      <c r="O261" s="25" t="s">
        <v>434</v>
      </c>
    </row>
    <row r="262" spans="14:15" x14ac:dyDescent="0.2">
      <c r="N262" s="25" t="s">
        <v>483</v>
      </c>
      <c r="O262" s="25" t="s">
        <v>61</v>
      </c>
    </row>
    <row r="263" spans="14:15" x14ac:dyDescent="0.2">
      <c r="N263" s="25" t="s">
        <v>485</v>
      </c>
      <c r="O263" s="25" t="s">
        <v>484</v>
      </c>
    </row>
    <row r="264" spans="14:15" x14ac:dyDescent="0.2">
      <c r="N264" s="83" t="s">
        <v>41</v>
      </c>
      <c r="O264" s="25" t="s">
        <v>496</v>
      </c>
    </row>
    <row r="265" spans="14:15" x14ac:dyDescent="0.2">
      <c r="N265" s="83" t="s">
        <v>41</v>
      </c>
      <c r="O265" s="25" t="s">
        <v>42</v>
      </c>
    </row>
    <row r="267" spans="14:15" x14ac:dyDescent="0.2">
      <c r="N267" s="26" t="s">
        <v>35</v>
      </c>
      <c r="O267" s="26" t="s">
        <v>494</v>
      </c>
    </row>
    <row r="268" spans="14:15" x14ac:dyDescent="0.2">
      <c r="N268" s="25" t="s">
        <v>115</v>
      </c>
      <c r="O268" s="25" t="s">
        <v>434</v>
      </c>
    </row>
    <row r="269" spans="14:15" x14ac:dyDescent="0.2">
      <c r="N269" s="25" t="s">
        <v>483</v>
      </c>
      <c r="O269" s="25" t="s">
        <v>61</v>
      </c>
    </row>
    <row r="270" spans="14:15" x14ac:dyDescent="0.2">
      <c r="N270" s="25" t="s">
        <v>28</v>
      </c>
      <c r="O270" s="25" t="s">
        <v>486</v>
      </c>
    </row>
    <row r="271" spans="14:15" x14ac:dyDescent="0.2">
      <c r="N271" s="83" t="s">
        <v>41</v>
      </c>
      <c r="O271" s="25" t="s">
        <v>496</v>
      </c>
    </row>
    <row r="272" spans="14:15" x14ac:dyDescent="0.2">
      <c r="N272" s="83" t="s">
        <v>41</v>
      </c>
      <c r="O272" s="25" t="s">
        <v>42</v>
      </c>
    </row>
    <row r="274" spans="14:17" x14ac:dyDescent="0.2">
      <c r="N274" s="26" t="s">
        <v>35</v>
      </c>
      <c r="O274" s="26" t="s">
        <v>494</v>
      </c>
    </row>
    <row r="275" spans="14:17" x14ac:dyDescent="0.2">
      <c r="N275" s="25" t="s">
        <v>115</v>
      </c>
      <c r="O275" s="25" t="s">
        <v>434</v>
      </c>
    </row>
    <row r="276" spans="14:17" x14ac:dyDescent="0.2">
      <c r="N276" s="25" t="s">
        <v>483</v>
      </c>
      <c r="O276" s="25" t="s">
        <v>61</v>
      </c>
    </row>
    <row r="277" spans="14:17" x14ac:dyDescent="0.2">
      <c r="N277" s="25" t="s">
        <v>487</v>
      </c>
      <c r="O277" s="25" t="s">
        <v>488</v>
      </c>
    </row>
    <row r="278" spans="14:17" x14ac:dyDescent="0.2">
      <c r="N278" s="83" t="s">
        <v>41</v>
      </c>
      <c r="O278" s="25" t="s">
        <v>496</v>
      </c>
    </row>
    <row r="279" spans="14:17" x14ac:dyDescent="0.2">
      <c r="N279" s="83" t="s">
        <v>41</v>
      </c>
      <c r="O279" s="25" t="s">
        <v>42</v>
      </c>
    </row>
    <row r="281" spans="14:17" x14ac:dyDescent="0.2">
      <c r="N281" s="26" t="s">
        <v>35</v>
      </c>
      <c r="O281" s="26" t="s">
        <v>494</v>
      </c>
      <c r="P281" s="212" t="s">
        <v>498</v>
      </c>
      <c r="Q281" s="213"/>
    </row>
    <row r="282" spans="14:17" x14ac:dyDescent="0.2">
      <c r="N282" s="25" t="s">
        <v>115</v>
      </c>
      <c r="O282" s="25" t="s">
        <v>434</v>
      </c>
      <c r="P282" s="212"/>
      <c r="Q282" s="213"/>
    </row>
    <row r="283" spans="14:17" x14ac:dyDescent="0.2">
      <c r="N283" s="25" t="s">
        <v>483</v>
      </c>
      <c r="O283" s="25" t="s">
        <v>61</v>
      </c>
      <c r="P283" s="212"/>
      <c r="Q283" s="213"/>
    </row>
    <row r="284" spans="14:17" x14ac:dyDescent="0.2">
      <c r="N284" s="25" t="s">
        <v>489</v>
      </c>
      <c r="O284" s="25" t="s">
        <v>455</v>
      </c>
      <c r="P284" s="212"/>
      <c r="Q284" s="213"/>
    </row>
    <row r="285" spans="14:17" x14ac:dyDescent="0.2">
      <c r="N285" s="83" t="s">
        <v>41</v>
      </c>
      <c r="O285" s="25" t="s">
        <v>496</v>
      </c>
    </row>
    <row r="286" spans="14:17" x14ac:dyDescent="0.2">
      <c r="N286" s="83" t="s">
        <v>41</v>
      </c>
      <c r="O286" s="25" t="s">
        <v>42</v>
      </c>
    </row>
    <row r="288" spans="14:17" x14ac:dyDescent="0.2">
      <c r="N288" s="26" t="s">
        <v>35</v>
      </c>
      <c r="O288" s="26" t="s">
        <v>494</v>
      </c>
    </row>
    <row r="289" spans="14:15" x14ac:dyDescent="0.2">
      <c r="N289" s="25" t="s">
        <v>115</v>
      </c>
      <c r="O289" s="25" t="s">
        <v>434</v>
      </c>
    </row>
    <row r="290" spans="14:15" x14ac:dyDescent="0.2">
      <c r="N290" s="25" t="s">
        <v>485</v>
      </c>
      <c r="O290" s="25" t="s">
        <v>484</v>
      </c>
    </row>
    <row r="291" spans="14:15" x14ac:dyDescent="0.2">
      <c r="N291" s="25" t="s">
        <v>28</v>
      </c>
      <c r="O291" s="25" t="s">
        <v>486</v>
      </c>
    </row>
    <row r="292" spans="14:15" x14ac:dyDescent="0.2">
      <c r="N292" s="83" t="s">
        <v>41</v>
      </c>
      <c r="O292" s="25" t="s">
        <v>496</v>
      </c>
    </row>
    <row r="293" spans="14:15" x14ac:dyDescent="0.2">
      <c r="N293" s="83" t="s">
        <v>41</v>
      </c>
      <c r="O293" s="25" t="s">
        <v>42</v>
      </c>
    </row>
    <row r="295" spans="14:15" x14ac:dyDescent="0.2">
      <c r="N295" s="26" t="s">
        <v>35</v>
      </c>
      <c r="O295" s="26" t="s">
        <v>494</v>
      </c>
    </row>
    <row r="296" spans="14:15" x14ac:dyDescent="0.2">
      <c r="N296" s="25" t="s">
        <v>115</v>
      </c>
      <c r="O296" s="25" t="s">
        <v>434</v>
      </c>
    </row>
    <row r="297" spans="14:15" x14ac:dyDescent="0.2">
      <c r="N297" s="25" t="s">
        <v>485</v>
      </c>
      <c r="O297" s="25" t="s">
        <v>484</v>
      </c>
    </row>
    <row r="298" spans="14:15" x14ac:dyDescent="0.2">
      <c r="N298" s="25" t="s">
        <v>487</v>
      </c>
      <c r="O298" s="25" t="s">
        <v>488</v>
      </c>
    </row>
    <row r="299" spans="14:15" x14ac:dyDescent="0.2">
      <c r="N299" s="83" t="s">
        <v>41</v>
      </c>
      <c r="O299" s="25" t="s">
        <v>496</v>
      </c>
    </row>
    <row r="300" spans="14:15" x14ac:dyDescent="0.2">
      <c r="N300" s="83" t="s">
        <v>41</v>
      </c>
      <c r="O300" s="25" t="s">
        <v>42</v>
      </c>
    </row>
    <row r="302" spans="14:15" x14ac:dyDescent="0.2">
      <c r="N302" s="26" t="s">
        <v>35</v>
      </c>
      <c r="O302" s="26" t="s">
        <v>494</v>
      </c>
    </row>
    <row r="303" spans="14:15" x14ac:dyDescent="0.2">
      <c r="N303" s="25" t="s">
        <v>115</v>
      </c>
      <c r="O303" s="25" t="s">
        <v>434</v>
      </c>
    </row>
    <row r="304" spans="14:15" x14ac:dyDescent="0.2">
      <c r="N304" s="25" t="s">
        <v>485</v>
      </c>
      <c r="O304" s="25" t="s">
        <v>484</v>
      </c>
    </row>
    <row r="305" spans="14:15" x14ac:dyDescent="0.2">
      <c r="N305" s="25" t="s">
        <v>489</v>
      </c>
      <c r="O305" s="25" t="s">
        <v>455</v>
      </c>
    </row>
    <row r="306" spans="14:15" x14ac:dyDescent="0.2">
      <c r="N306" s="83" t="s">
        <v>41</v>
      </c>
      <c r="O306" s="25" t="s">
        <v>496</v>
      </c>
    </row>
    <row r="307" spans="14:15" x14ac:dyDescent="0.2">
      <c r="N307" s="83" t="s">
        <v>41</v>
      </c>
      <c r="O307" s="25" t="s">
        <v>42</v>
      </c>
    </row>
    <row r="309" spans="14:15" x14ac:dyDescent="0.2">
      <c r="N309" s="26" t="s">
        <v>35</v>
      </c>
      <c r="O309" s="26" t="s">
        <v>494</v>
      </c>
    </row>
    <row r="310" spans="14:15" x14ac:dyDescent="0.2">
      <c r="N310" s="25" t="s">
        <v>115</v>
      </c>
      <c r="O310" s="25" t="s">
        <v>434</v>
      </c>
    </row>
    <row r="311" spans="14:15" x14ac:dyDescent="0.2">
      <c r="N311" s="25" t="s">
        <v>28</v>
      </c>
      <c r="O311" s="25" t="s">
        <v>486</v>
      </c>
    </row>
    <row r="312" spans="14:15" x14ac:dyDescent="0.2">
      <c r="N312" s="25" t="s">
        <v>487</v>
      </c>
      <c r="O312" s="25" t="s">
        <v>488</v>
      </c>
    </row>
    <row r="313" spans="14:15" x14ac:dyDescent="0.2">
      <c r="N313" s="83" t="s">
        <v>41</v>
      </c>
      <c r="O313" s="25" t="s">
        <v>496</v>
      </c>
    </row>
    <row r="314" spans="14:15" x14ac:dyDescent="0.2">
      <c r="N314" s="83" t="s">
        <v>41</v>
      </c>
      <c r="O314" s="25" t="s">
        <v>42</v>
      </c>
    </row>
    <row r="316" spans="14:15" x14ac:dyDescent="0.2">
      <c r="N316" s="26" t="s">
        <v>35</v>
      </c>
      <c r="O316" s="26" t="s">
        <v>494</v>
      </c>
    </row>
    <row r="317" spans="14:15" x14ac:dyDescent="0.2">
      <c r="N317" s="25" t="s">
        <v>115</v>
      </c>
      <c r="O317" s="25" t="s">
        <v>434</v>
      </c>
    </row>
    <row r="318" spans="14:15" x14ac:dyDescent="0.2">
      <c r="N318" s="25" t="s">
        <v>28</v>
      </c>
      <c r="O318" s="25" t="s">
        <v>486</v>
      </c>
    </row>
    <row r="319" spans="14:15" x14ac:dyDescent="0.2">
      <c r="N319" s="25" t="s">
        <v>489</v>
      </c>
      <c r="O319" s="25" t="s">
        <v>455</v>
      </c>
    </row>
    <row r="320" spans="14:15" x14ac:dyDescent="0.2">
      <c r="N320" s="83" t="s">
        <v>41</v>
      </c>
      <c r="O320" s="25" t="s">
        <v>496</v>
      </c>
    </row>
    <row r="321" spans="14:15" x14ac:dyDescent="0.2">
      <c r="N321" s="83" t="s">
        <v>41</v>
      </c>
      <c r="O321" s="25" t="s">
        <v>42</v>
      </c>
    </row>
    <row r="323" spans="14:15" x14ac:dyDescent="0.2">
      <c r="N323" s="26" t="s">
        <v>35</v>
      </c>
      <c r="O323" s="26" t="s">
        <v>494</v>
      </c>
    </row>
    <row r="324" spans="14:15" x14ac:dyDescent="0.2">
      <c r="N324" s="25" t="s">
        <v>115</v>
      </c>
      <c r="O324" s="25" t="s">
        <v>434</v>
      </c>
    </row>
    <row r="325" spans="14:15" x14ac:dyDescent="0.2">
      <c r="N325" s="25" t="s">
        <v>487</v>
      </c>
      <c r="O325" s="25" t="s">
        <v>488</v>
      </c>
    </row>
    <row r="326" spans="14:15" x14ac:dyDescent="0.2">
      <c r="N326" s="25" t="s">
        <v>489</v>
      </c>
      <c r="O326" s="25" t="s">
        <v>455</v>
      </c>
    </row>
    <row r="327" spans="14:15" x14ac:dyDescent="0.2">
      <c r="N327" s="83" t="s">
        <v>41</v>
      </c>
      <c r="O327" s="25" t="s">
        <v>496</v>
      </c>
    </row>
    <row r="328" spans="14:15" x14ac:dyDescent="0.2">
      <c r="N328" s="83" t="s">
        <v>41</v>
      </c>
      <c r="O328" s="25" t="s">
        <v>42</v>
      </c>
    </row>
    <row r="331" spans="14:15" x14ac:dyDescent="0.2">
      <c r="N331" s="26" t="s">
        <v>35</v>
      </c>
      <c r="O331" s="26" t="s">
        <v>494</v>
      </c>
    </row>
    <row r="332" spans="14:15" x14ac:dyDescent="0.2">
      <c r="N332" s="25" t="s">
        <v>483</v>
      </c>
      <c r="O332" s="25" t="s">
        <v>61</v>
      </c>
    </row>
    <row r="333" spans="14:15" x14ac:dyDescent="0.2">
      <c r="N333" s="25" t="s">
        <v>485</v>
      </c>
      <c r="O333" s="25" t="s">
        <v>484</v>
      </c>
    </row>
    <row r="334" spans="14:15" x14ac:dyDescent="0.2">
      <c r="N334" s="25" t="s">
        <v>28</v>
      </c>
      <c r="O334" s="25" t="s">
        <v>486</v>
      </c>
    </row>
    <row r="335" spans="14:15" x14ac:dyDescent="0.2">
      <c r="N335" s="83" t="s">
        <v>41</v>
      </c>
      <c r="O335" s="25" t="s">
        <v>496</v>
      </c>
    </row>
    <row r="336" spans="14:15" x14ac:dyDescent="0.2">
      <c r="N336" s="83" t="s">
        <v>41</v>
      </c>
      <c r="O336" s="25" t="s">
        <v>42</v>
      </c>
    </row>
    <row r="338" spans="14:15" x14ac:dyDescent="0.2">
      <c r="N338" s="26" t="s">
        <v>35</v>
      </c>
      <c r="O338" s="26" t="s">
        <v>494</v>
      </c>
    </row>
    <row r="339" spans="14:15" x14ac:dyDescent="0.2">
      <c r="N339" s="25" t="s">
        <v>483</v>
      </c>
      <c r="O339" s="25" t="s">
        <v>61</v>
      </c>
    </row>
    <row r="340" spans="14:15" x14ac:dyDescent="0.2">
      <c r="N340" s="25" t="s">
        <v>485</v>
      </c>
      <c r="O340" s="25" t="s">
        <v>484</v>
      </c>
    </row>
    <row r="341" spans="14:15" x14ac:dyDescent="0.2">
      <c r="N341" s="25" t="s">
        <v>487</v>
      </c>
      <c r="O341" s="25" t="s">
        <v>488</v>
      </c>
    </row>
    <row r="342" spans="14:15" x14ac:dyDescent="0.2">
      <c r="N342" s="83" t="s">
        <v>41</v>
      </c>
      <c r="O342" s="25" t="s">
        <v>496</v>
      </c>
    </row>
    <row r="343" spans="14:15" x14ac:dyDescent="0.2">
      <c r="N343" s="83" t="s">
        <v>41</v>
      </c>
      <c r="O343" s="25" t="s">
        <v>42</v>
      </c>
    </row>
    <row r="345" spans="14:15" x14ac:dyDescent="0.2">
      <c r="N345" s="26" t="s">
        <v>35</v>
      </c>
      <c r="O345" s="26" t="s">
        <v>494</v>
      </c>
    </row>
    <row r="346" spans="14:15" x14ac:dyDescent="0.2">
      <c r="N346" s="25" t="s">
        <v>483</v>
      </c>
      <c r="O346" s="25" t="s">
        <v>61</v>
      </c>
    </row>
    <row r="347" spans="14:15" x14ac:dyDescent="0.2">
      <c r="N347" s="25" t="s">
        <v>485</v>
      </c>
      <c r="O347" s="25" t="s">
        <v>484</v>
      </c>
    </row>
    <row r="348" spans="14:15" x14ac:dyDescent="0.2">
      <c r="N348" s="25" t="s">
        <v>489</v>
      </c>
      <c r="O348" s="25" t="s">
        <v>455</v>
      </c>
    </row>
    <row r="349" spans="14:15" x14ac:dyDescent="0.2">
      <c r="N349" s="83" t="s">
        <v>41</v>
      </c>
      <c r="O349" s="25" t="s">
        <v>496</v>
      </c>
    </row>
    <row r="350" spans="14:15" x14ac:dyDescent="0.2">
      <c r="N350" s="83" t="s">
        <v>41</v>
      </c>
      <c r="O350" s="25" t="s">
        <v>42</v>
      </c>
    </row>
    <row r="352" spans="14:15" x14ac:dyDescent="0.2">
      <c r="N352" s="26" t="s">
        <v>35</v>
      </c>
      <c r="O352" s="26" t="s">
        <v>494</v>
      </c>
    </row>
    <row r="353" spans="14:15" x14ac:dyDescent="0.2">
      <c r="N353" s="25" t="s">
        <v>483</v>
      </c>
      <c r="O353" s="25" t="s">
        <v>61</v>
      </c>
    </row>
    <row r="354" spans="14:15" x14ac:dyDescent="0.2">
      <c r="N354" s="25" t="s">
        <v>28</v>
      </c>
      <c r="O354" s="25" t="s">
        <v>486</v>
      </c>
    </row>
    <row r="355" spans="14:15" x14ac:dyDescent="0.2">
      <c r="N355" s="25" t="s">
        <v>487</v>
      </c>
      <c r="O355" s="25" t="s">
        <v>488</v>
      </c>
    </row>
    <row r="356" spans="14:15" x14ac:dyDescent="0.2">
      <c r="N356" s="83" t="s">
        <v>41</v>
      </c>
      <c r="O356" s="25" t="s">
        <v>496</v>
      </c>
    </row>
    <row r="357" spans="14:15" x14ac:dyDescent="0.2">
      <c r="N357" s="83" t="s">
        <v>41</v>
      </c>
      <c r="O357" s="25" t="s">
        <v>42</v>
      </c>
    </row>
    <row r="359" spans="14:15" x14ac:dyDescent="0.2">
      <c r="N359" s="26" t="s">
        <v>35</v>
      </c>
      <c r="O359" s="26" t="s">
        <v>494</v>
      </c>
    </row>
    <row r="360" spans="14:15" x14ac:dyDescent="0.2">
      <c r="N360" s="25" t="s">
        <v>483</v>
      </c>
      <c r="O360" s="25" t="s">
        <v>61</v>
      </c>
    </row>
    <row r="361" spans="14:15" x14ac:dyDescent="0.2">
      <c r="N361" s="25" t="s">
        <v>28</v>
      </c>
      <c r="O361" s="25" t="s">
        <v>486</v>
      </c>
    </row>
    <row r="362" spans="14:15" x14ac:dyDescent="0.2">
      <c r="N362" s="25" t="s">
        <v>489</v>
      </c>
      <c r="O362" s="25" t="s">
        <v>455</v>
      </c>
    </row>
    <row r="363" spans="14:15" x14ac:dyDescent="0.2">
      <c r="N363" s="83" t="s">
        <v>41</v>
      </c>
      <c r="O363" s="25" t="s">
        <v>496</v>
      </c>
    </row>
    <row r="364" spans="14:15" x14ac:dyDescent="0.2">
      <c r="N364" s="83" t="s">
        <v>41</v>
      </c>
      <c r="O364" s="25" t="s">
        <v>42</v>
      </c>
    </row>
    <row r="366" spans="14:15" x14ac:dyDescent="0.2">
      <c r="N366" s="26" t="s">
        <v>35</v>
      </c>
      <c r="O366" s="26" t="s">
        <v>494</v>
      </c>
    </row>
    <row r="367" spans="14:15" x14ac:dyDescent="0.2">
      <c r="N367" s="25" t="s">
        <v>483</v>
      </c>
      <c r="O367" s="25" t="s">
        <v>61</v>
      </c>
    </row>
    <row r="368" spans="14:15" x14ac:dyDescent="0.2">
      <c r="N368" s="25" t="s">
        <v>487</v>
      </c>
      <c r="O368" s="25" t="s">
        <v>488</v>
      </c>
    </row>
    <row r="369" spans="14:17" x14ac:dyDescent="0.2">
      <c r="N369" s="25" t="s">
        <v>489</v>
      </c>
      <c r="O369" s="25" t="s">
        <v>455</v>
      </c>
    </row>
    <row r="370" spans="14:17" x14ac:dyDescent="0.2">
      <c r="N370" s="83" t="s">
        <v>41</v>
      </c>
      <c r="O370" s="25" t="s">
        <v>496</v>
      </c>
    </row>
    <row r="371" spans="14:17" x14ac:dyDescent="0.2">
      <c r="N371" s="83" t="s">
        <v>41</v>
      </c>
      <c r="O371" s="25" t="s">
        <v>42</v>
      </c>
    </row>
    <row r="373" spans="14:17" x14ac:dyDescent="0.2">
      <c r="N373" s="26" t="s">
        <v>35</v>
      </c>
      <c r="O373" s="26" t="s">
        <v>494</v>
      </c>
      <c r="P373" s="212" t="s">
        <v>499</v>
      </c>
      <c r="Q373" s="213"/>
    </row>
    <row r="374" spans="14:17" x14ac:dyDescent="0.2">
      <c r="N374" s="25" t="s">
        <v>485</v>
      </c>
      <c r="O374" s="25" t="s">
        <v>484</v>
      </c>
      <c r="P374" s="212"/>
      <c r="Q374" s="213"/>
    </row>
    <row r="375" spans="14:17" x14ac:dyDescent="0.2">
      <c r="N375" s="25" t="s">
        <v>28</v>
      </c>
      <c r="O375" s="25" t="s">
        <v>486</v>
      </c>
      <c r="P375" s="212"/>
      <c r="Q375" s="213"/>
    </row>
    <row r="376" spans="14:17" x14ac:dyDescent="0.2">
      <c r="N376" s="25" t="s">
        <v>487</v>
      </c>
      <c r="O376" s="25" t="s">
        <v>488</v>
      </c>
      <c r="P376" s="212"/>
      <c r="Q376" s="213"/>
    </row>
    <row r="377" spans="14:17" x14ac:dyDescent="0.2">
      <c r="N377" s="83" t="s">
        <v>41</v>
      </c>
      <c r="O377" s="25" t="s">
        <v>496</v>
      </c>
    </row>
    <row r="378" spans="14:17" x14ac:dyDescent="0.2">
      <c r="N378" s="83" t="s">
        <v>41</v>
      </c>
      <c r="O378" s="25" t="s">
        <v>42</v>
      </c>
    </row>
    <row r="380" spans="14:17" x14ac:dyDescent="0.2">
      <c r="N380" s="26" t="s">
        <v>35</v>
      </c>
      <c r="O380" s="26" t="s">
        <v>494</v>
      </c>
      <c r="P380" s="212" t="s">
        <v>499</v>
      </c>
      <c r="Q380" s="213"/>
    </row>
    <row r="381" spans="14:17" x14ac:dyDescent="0.2">
      <c r="N381" s="25" t="s">
        <v>485</v>
      </c>
      <c r="O381" s="25" t="s">
        <v>484</v>
      </c>
      <c r="P381" s="212"/>
      <c r="Q381" s="213"/>
    </row>
    <row r="382" spans="14:17" x14ac:dyDescent="0.2">
      <c r="N382" s="25" t="s">
        <v>28</v>
      </c>
      <c r="O382" s="25" t="s">
        <v>486</v>
      </c>
      <c r="P382" s="212"/>
      <c r="Q382" s="213"/>
    </row>
    <row r="383" spans="14:17" x14ac:dyDescent="0.2">
      <c r="N383" s="25" t="s">
        <v>489</v>
      </c>
      <c r="O383" s="25" t="s">
        <v>455</v>
      </c>
      <c r="P383" s="212"/>
      <c r="Q383" s="213"/>
    </row>
    <row r="384" spans="14:17" x14ac:dyDescent="0.2">
      <c r="N384" s="83" t="s">
        <v>41</v>
      </c>
      <c r="O384" s="25" t="s">
        <v>496</v>
      </c>
    </row>
    <row r="385" spans="14:17" x14ac:dyDescent="0.2">
      <c r="N385" s="83" t="s">
        <v>41</v>
      </c>
      <c r="O385" s="25" t="s">
        <v>42</v>
      </c>
    </row>
    <row r="387" spans="14:17" x14ac:dyDescent="0.2">
      <c r="N387" s="26" t="s">
        <v>35</v>
      </c>
      <c r="O387" s="26" t="s">
        <v>494</v>
      </c>
      <c r="P387" s="212" t="s">
        <v>499</v>
      </c>
      <c r="Q387" s="213"/>
    </row>
    <row r="388" spans="14:17" x14ac:dyDescent="0.2">
      <c r="N388" s="25" t="s">
        <v>485</v>
      </c>
      <c r="O388" s="25" t="s">
        <v>484</v>
      </c>
      <c r="P388" s="212"/>
      <c r="Q388" s="213"/>
    </row>
    <row r="389" spans="14:17" x14ac:dyDescent="0.2">
      <c r="N389" s="25" t="s">
        <v>487</v>
      </c>
      <c r="O389" s="25" t="s">
        <v>488</v>
      </c>
      <c r="P389" s="212"/>
      <c r="Q389" s="213"/>
    </row>
    <row r="390" spans="14:17" x14ac:dyDescent="0.2">
      <c r="N390" s="25" t="s">
        <v>489</v>
      </c>
      <c r="O390" s="25" t="s">
        <v>455</v>
      </c>
      <c r="P390" s="212"/>
      <c r="Q390" s="213"/>
    </row>
    <row r="391" spans="14:17" x14ac:dyDescent="0.2">
      <c r="N391" s="83" t="s">
        <v>41</v>
      </c>
      <c r="O391" s="25" t="s">
        <v>496</v>
      </c>
    </row>
    <row r="392" spans="14:17" x14ac:dyDescent="0.2">
      <c r="N392" s="83" t="s">
        <v>41</v>
      </c>
      <c r="O392" s="25" t="s">
        <v>42</v>
      </c>
    </row>
    <row r="394" spans="14:17" x14ac:dyDescent="0.2">
      <c r="N394" s="26" t="s">
        <v>35</v>
      </c>
      <c r="O394" s="26" t="s">
        <v>494</v>
      </c>
      <c r="P394" s="212" t="s">
        <v>499</v>
      </c>
      <c r="Q394" s="213"/>
    </row>
    <row r="395" spans="14:17" x14ac:dyDescent="0.2">
      <c r="N395" s="25" t="s">
        <v>28</v>
      </c>
      <c r="O395" s="25" t="s">
        <v>486</v>
      </c>
      <c r="P395" s="212"/>
      <c r="Q395" s="213"/>
    </row>
    <row r="396" spans="14:17" x14ac:dyDescent="0.2">
      <c r="N396" s="25" t="s">
        <v>487</v>
      </c>
      <c r="O396" s="25" t="s">
        <v>488</v>
      </c>
      <c r="P396" s="212"/>
      <c r="Q396" s="213"/>
    </row>
    <row r="397" spans="14:17" x14ac:dyDescent="0.2">
      <c r="N397" s="25" t="s">
        <v>489</v>
      </c>
      <c r="O397" s="25" t="s">
        <v>455</v>
      </c>
      <c r="P397" s="212"/>
      <c r="Q397" s="213"/>
    </row>
    <row r="398" spans="14:17" x14ac:dyDescent="0.2">
      <c r="N398" s="83" t="s">
        <v>41</v>
      </c>
      <c r="O398" s="25" t="s">
        <v>496</v>
      </c>
    </row>
    <row r="399" spans="14:17" x14ac:dyDescent="0.2">
      <c r="N399" s="83" t="s">
        <v>41</v>
      </c>
      <c r="O399" s="25" t="s">
        <v>42</v>
      </c>
    </row>
  </sheetData>
  <mergeCells count="40">
    <mergeCell ref="P380:Q383"/>
    <mergeCell ref="P387:Q390"/>
    <mergeCell ref="P394:Q397"/>
    <mergeCell ref="A41:A43"/>
    <mergeCell ref="P64:Q67"/>
    <mergeCell ref="P281:Q284"/>
    <mergeCell ref="P373:Q376"/>
    <mergeCell ref="P106:Q109"/>
    <mergeCell ref="P211:Q214"/>
    <mergeCell ref="P43:Q46"/>
    <mergeCell ref="A35:A37"/>
    <mergeCell ref="A38:A40"/>
    <mergeCell ref="A23:A25"/>
    <mergeCell ref="A26:A28"/>
    <mergeCell ref="A29:A31"/>
    <mergeCell ref="A32:A34"/>
    <mergeCell ref="P16:Q19"/>
    <mergeCell ref="P23:Q26"/>
    <mergeCell ref="J10:J12"/>
    <mergeCell ref="A14:A16"/>
    <mergeCell ref="A17:A19"/>
    <mergeCell ref="A20:A22"/>
    <mergeCell ref="N10:N12"/>
    <mergeCell ref="K13:L13"/>
    <mergeCell ref="O13:P13"/>
    <mergeCell ref="G13:H13"/>
    <mergeCell ref="R7:T7"/>
    <mergeCell ref="R8:T8"/>
    <mergeCell ref="R10:R12"/>
    <mergeCell ref="S13:T13"/>
    <mergeCell ref="A7:C7"/>
    <mergeCell ref="F7:H7"/>
    <mergeCell ref="J7:L7"/>
    <mergeCell ref="N7:P7"/>
    <mergeCell ref="A10:A12"/>
    <mergeCell ref="F10:F12"/>
    <mergeCell ref="J8:L8"/>
    <mergeCell ref="N8:P8"/>
    <mergeCell ref="B13:C13"/>
    <mergeCell ref="F8:H8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H49"/>
  <sheetViews>
    <sheetView topLeftCell="F1" workbookViewId="0">
      <selection activeCell="I21" sqref="I21"/>
    </sheetView>
  </sheetViews>
  <sheetFormatPr defaultRowHeight="12.75" x14ac:dyDescent="0.2"/>
  <sheetData>
    <row r="3" spans="1:60" x14ac:dyDescent="0.2">
      <c r="A3" s="9"/>
      <c r="B3" s="152">
        <v>7.89</v>
      </c>
      <c r="C3" s="152">
        <v>19.7</v>
      </c>
      <c r="D3" s="152">
        <v>33.28</v>
      </c>
      <c r="E3" s="153">
        <v>41.76</v>
      </c>
      <c r="F3" s="143" t="s">
        <v>861</v>
      </c>
      <c r="G3" s="143" t="s">
        <v>862</v>
      </c>
      <c r="H3" s="143" t="s">
        <v>860</v>
      </c>
      <c r="I3" s="143">
        <v>70.22</v>
      </c>
      <c r="J3" s="1"/>
      <c r="K3" s="1"/>
      <c r="L3" s="2"/>
    </row>
    <row r="4" spans="1:60" x14ac:dyDescent="0.2">
      <c r="A4" s="19" t="s">
        <v>0</v>
      </c>
      <c r="B4" s="154">
        <f>H3/B3</f>
        <v>7.751584283903675</v>
      </c>
      <c r="C4" s="154">
        <f>H3/C3</f>
        <v>3.1045685279187816</v>
      </c>
      <c r="D4" s="154">
        <f>H3/D3</f>
        <v>1.8377403846153844</v>
      </c>
      <c r="E4" s="154">
        <f>H3/E3</f>
        <v>1.4645593869731801</v>
      </c>
      <c r="F4" s="154">
        <f>H3/F3</f>
        <v>1.2231999999999998</v>
      </c>
      <c r="G4" s="154">
        <f>H3/G3</f>
        <v>1.1019819819819818</v>
      </c>
      <c r="H4" s="154">
        <f>H3/H3</f>
        <v>1</v>
      </c>
      <c r="I4" s="154">
        <f>H3/I3</f>
        <v>0.87097692964967244</v>
      </c>
      <c r="J4" s="1" t="s">
        <v>540</v>
      </c>
      <c r="K4" s="12">
        <f>B4/I4</f>
        <v>8.8998732572877053</v>
      </c>
      <c r="L4" s="2"/>
    </row>
    <row r="5" spans="1:60" x14ac:dyDescent="0.2">
      <c r="A5" s="19" t="s">
        <v>1</v>
      </c>
      <c r="B5" s="154"/>
      <c r="C5" s="154">
        <f t="shared" ref="C5:I5" si="0">B4/C4</f>
        <v>2.496831432192649</v>
      </c>
      <c r="D5" s="154">
        <f t="shared" si="0"/>
        <v>1.6893401015228429</v>
      </c>
      <c r="E5" s="155">
        <f t="shared" si="0"/>
        <v>1.2548076923076921</v>
      </c>
      <c r="F5" s="146">
        <f t="shared" si="0"/>
        <v>1.1973180076628354</v>
      </c>
      <c r="G5" s="146">
        <f t="shared" si="0"/>
        <v>1.1100000000000001</v>
      </c>
      <c r="H5" s="146">
        <f t="shared" si="0"/>
        <v>1.1019819819819818</v>
      </c>
      <c r="I5" s="146">
        <f t="shared" si="0"/>
        <v>1.1481360366252453</v>
      </c>
      <c r="J5" s="1"/>
      <c r="K5" s="1"/>
      <c r="L5" s="2"/>
    </row>
    <row r="6" spans="1:60" x14ac:dyDescent="0.2">
      <c r="A6" s="162"/>
      <c r="B6" s="156">
        <f t="shared" ref="B6:I6" si="1">100/B4</f>
        <v>12.900588620013082</v>
      </c>
      <c r="C6" s="156">
        <f t="shared" si="1"/>
        <v>32.210595160235449</v>
      </c>
      <c r="D6" s="156">
        <f t="shared" si="1"/>
        <v>54.414650098103344</v>
      </c>
      <c r="E6" s="157">
        <f t="shared" si="1"/>
        <v>68.279921517331587</v>
      </c>
      <c r="F6" s="148">
        <f t="shared" si="1"/>
        <v>81.752779594506222</v>
      </c>
      <c r="G6" s="148">
        <f t="shared" si="1"/>
        <v>90.745585349901916</v>
      </c>
      <c r="H6" s="148">
        <f t="shared" si="1"/>
        <v>100</v>
      </c>
      <c r="I6" s="148">
        <f t="shared" si="1"/>
        <v>114.81360366252453</v>
      </c>
      <c r="J6" s="1"/>
      <c r="K6" s="1"/>
      <c r="L6" s="2"/>
    </row>
    <row r="7" spans="1:60" x14ac:dyDescent="0.2">
      <c r="B7" s="156">
        <f>1/B4</f>
        <v>0.12900588620013081</v>
      </c>
      <c r="C7" s="156">
        <f t="shared" ref="C7:I7" si="2">1/C4</f>
        <v>0.3221059516023545</v>
      </c>
      <c r="D7" s="156">
        <f t="shared" si="2"/>
        <v>0.54414650098103345</v>
      </c>
      <c r="E7" s="156">
        <f t="shared" si="2"/>
        <v>0.68279921517331588</v>
      </c>
      <c r="F7" s="156">
        <f t="shared" si="2"/>
        <v>0.8175277959450622</v>
      </c>
      <c r="G7" s="156">
        <f t="shared" si="2"/>
        <v>0.90745585349901914</v>
      </c>
      <c r="H7" s="156">
        <f t="shared" si="2"/>
        <v>1</v>
      </c>
      <c r="I7" s="156">
        <f t="shared" si="2"/>
        <v>1.1481360366252453</v>
      </c>
      <c r="J7" s="3"/>
      <c r="K7" s="1"/>
      <c r="L7" s="1"/>
    </row>
    <row r="9" spans="1:60" x14ac:dyDescent="0.2">
      <c r="A9" s="188" t="s">
        <v>60</v>
      </c>
      <c r="B9" s="188"/>
      <c r="C9" s="188"/>
      <c r="D9" s="27"/>
      <c r="E9" s="39"/>
      <c r="F9" s="191" t="s">
        <v>97</v>
      </c>
      <c r="G9" s="192"/>
      <c r="H9" s="192"/>
      <c r="I9" s="39"/>
      <c r="J9" s="189" t="s">
        <v>98</v>
      </c>
      <c r="K9" s="189"/>
      <c r="L9" s="189"/>
      <c r="N9" s="189" t="s">
        <v>99</v>
      </c>
      <c r="O9" s="189"/>
      <c r="P9" s="189"/>
      <c r="R9" s="189" t="s">
        <v>100</v>
      </c>
      <c r="S9" s="189"/>
      <c r="T9" s="189"/>
      <c r="V9" s="189" t="s">
        <v>101</v>
      </c>
      <c r="W9" s="189"/>
      <c r="X9" s="189"/>
      <c r="Z9" s="189" t="s">
        <v>102</v>
      </c>
      <c r="AA9" s="189"/>
      <c r="AB9" s="189"/>
      <c r="AD9" s="189" t="s">
        <v>235</v>
      </c>
      <c r="AE9" s="189"/>
      <c r="AF9" s="189"/>
      <c r="AH9" s="189" t="s">
        <v>241</v>
      </c>
      <c r="AI9" s="189"/>
      <c r="AJ9" s="189"/>
      <c r="AL9" s="189" t="s">
        <v>247</v>
      </c>
      <c r="AM9" s="189"/>
      <c r="AN9" s="189"/>
      <c r="AP9" s="189" t="s">
        <v>253</v>
      </c>
      <c r="AQ9" s="189"/>
      <c r="AR9" s="189"/>
      <c r="AT9" s="189" t="s">
        <v>265</v>
      </c>
      <c r="AU9" s="189"/>
      <c r="AV9" s="189"/>
      <c r="AX9" s="189" t="s">
        <v>270</v>
      </c>
      <c r="AY9" s="189"/>
      <c r="AZ9" s="189"/>
      <c r="BB9" s="189" t="s">
        <v>271</v>
      </c>
      <c r="BC9" s="189"/>
      <c r="BD9" s="189"/>
      <c r="BF9" s="189" t="s">
        <v>277</v>
      </c>
      <c r="BG9" s="189"/>
      <c r="BH9" s="189"/>
    </row>
    <row r="10" spans="1:60" x14ac:dyDescent="0.2">
      <c r="D10" s="27"/>
      <c r="E10" s="39"/>
      <c r="F10" s="194" t="s">
        <v>865</v>
      </c>
      <c r="G10" s="195"/>
      <c r="H10" s="195"/>
      <c r="I10" s="39"/>
      <c r="J10" s="194" t="s">
        <v>866</v>
      </c>
      <c r="K10" s="195"/>
      <c r="L10" s="195"/>
      <c r="N10" s="194" t="s">
        <v>867</v>
      </c>
      <c r="O10" s="195"/>
      <c r="P10" s="195"/>
      <c r="R10" s="194" t="s">
        <v>868</v>
      </c>
      <c r="S10" s="195"/>
      <c r="T10" s="195"/>
      <c r="V10" s="194" t="s">
        <v>869</v>
      </c>
      <c r="W10" s="195"/>
      <c r="X10" s="195"/>
      <c r="Z10" s="194" t="s">
        <v>871</v>
      </c>
      <c r="AA10" s="195"/>
      <c r="AB10" s="195"/>
      <c r="AD10" s="194" t="s">
        <v>873</v>
      </c>
      <c r="AE10" s="195"/>
      <c r="AF10" s="195"/>
      <c r="AH10" s="194" t="s">
        <v>874</v>
      </c>
      <c r="AI10" s="195"/>
      <c r="AJ10" s="195"/>
      <c r="AL10" s="194" t="s">
        <v>875</v>
      </c>
      <c r="AM10" s="195"/>
      <c r="AN10" s="195"/>
      <c r="AP10" s="194" t="s">
        <v>876</v>
      </c>
      <c r="AQ10" s="195"/>
      <c r="AR10" s="195"/>
      <c r="AT10" s="194" t="s">
        <v>877</v>
      </c>
      <c r="AU10" s="195"/>
      <c r="AV10" s="195"/>
      <c r="AX10" s="194" t="s">
        <v>878</v>
      </c>
      <c r="AY10" s="195"/>
      <c r="AZ10" s="195"/>
      <c r="BB10" s="194" t="s">
        <v>879</v>
      </c>
      <c r="BC10" s="195"/>
      <c r="BD10" s="195"/>
      <c r="BF10" s="194" t="s">
        <v>880</v>
      </c>
      <c r="BG10" s="195"/>
      <c r="BH10" s="195"/>
    </row>
    <row r="11" spans="1:60" x14ac:dyDescent="0.2">
      <c r="A11" s="7" t="s">
        <v>2</v>
      </c>
      <c r="B11" s="8" t="s">
        <v>3</v>
      </c>
      <c r="C11" s="20" t="s">
        <v>0</v>
      </c>
      <c r="D11" s="27"/>
      <c r="E11" s="39"/>
      <c r="F11" s="41" t="s">
        <v>2</v>
      </c>
      <c r="G11" s="41" t="s">
        <v>3</v>
      </c>
      <c r="H11" s="42" t="s">
        <v>0</v>
      </c>
      <c r="I11" s="39"/>
      <c r="J11" s="22" t="s">
        <v>2</v>
      </c>
      <c r="K11" s="22" t="s">
        <v>3</v>
      </c>
      <c r="L11" s="23" t="s">
        <v>0</v>
      </c>
      <c r="N11" s="22" t="s">
        <v>2</v>
      </c>
      <c r="O11" s="22" t="s">
        <v>3</v>
      </c>
      <c r="P11" s="23" t="s">
        <v>0</v>
      </c>
      <c r="R11" s="22" t="s">
        <v>2</v>
      </c>
      <c r="S11" s="22" t="s">
        <v>3</v>
      </c>
      <c r="T11" s="23" t="s">
        <v>0</v>
      </c>
      <c r="V11" s="22" t="s">
        <v>2</v>
      </c>
      <c r="W11" s="22" t="s">
        <v>3</v>
      </c>
      <c r="X11" s="23" t="s">
        <v>0</v>
      </c>
      <c r="Z11" s="22" t="s">
        <v>2</v>
      </c>
      <c r="AA11" s="22" t="s">
        <v>3</v>
      </c>
      <c r="AB11" s="23" t="s">
        <v>0</v>
      </c>
      <c r="AD11" s="22" t="s">
        <v>2</v>
      </c>
      <c r="AE11" s="22" t="s">
        <v>3</v>
      </c>
      <c r="AF11" s="23" t="s">
        <v>0</v>
      </c>
      <c r="AH11" s="22" t="s">
        <v>2</v>
      </c>
      <c r="AI11" s="22" t="s">
        <v>3</v>
      </c>
      <c r="AJ11" s="23" t="s">
        <v>0</v>
      </c>
      <c r="AL11" s="22" t="s">
        <v>2</v>
      </c>
      <c r="AM11" s="22" t="s">
        <v>3</v>
      </c>
      <c r="AN11" s="23" t="s">
        <v>0</v>
      </c>
      <c r="AP11" s="22" t="s">
        <v>2</v>
      </c>
      <c r="AQ11" s="22" t="s">
        <v>3</v>
      </c>
      <c r="AR11" s="23" t="s">
        <v>0</v>
      </c>
      <c r="AT11" s="22" t="s">
        <v>2</v>
      </c>
      <c r="AU11" s="22" t="s">
        <v>3</v>
      </c>
      <c r="AV11" s="23" t="s">
        <v>0</v>
      </c>
      <c r="AX11" s="22" t="s">
        <v>2</v>
      </c>
      <c r="AY11" s="22" t="s">
        <v>3</v>
      </c>
      <c r="AZ11" s="23" t="s">
        <v>0</v>
      </c>
      <c r="BB11" s="22" t="s">
        <v>2</v>
      </c>
      <c r="BC11" s="22" t="s">
        <v>3</v>
      </c>
      <c r="BD11" s="23" t="s">
        <v>0</v>
      </c>
      <c r="BF11" s="22" t="s">
        <v>2</v>
      </c>
      <c r="BG11" s="22" t="s">
        <v>3</v>
      </c>
      <c r="BH11" s="23" t="s">
        <v>0</v>
      </c>
    </row>
    <row r="12" spans="1:60" x14ac:dyDescent="0.2">
      <c r="A12" s="187" t="s">
        <v>10</v>
      </c>
      <c r="B12" s="18" t="s">
        <v>180</v>
      </c>
      <c r="C12" s="18" t="s">
        <v>656</v>
      </c>
      <c r="D12" s="28"/>
      <c r="E12" s="44"/>
      <c r="F12" s="187"/>
      <c r="G12" s="18"/>
      <c r="H12" s="18"/>
      <c r="I12" s="44"/>
      <c r="J12" s="187"/>
      <c r="K12" s="158"/>
      <c r="L12" s="158"/>
      <c r="N12" s="187"/>
      <c r="O12" s="158"/>
      <c r="P12" s="158"/>
      <c r="R12" s="187"/>
      <c r="S12" s="158"/>
      <c r="T12" s="158"/>
      <c r="V12" s="216" t="s">
        <v>870</v>
      </c>
      <c r="W12" s="219" t="s">
        <v>117</v>
      </c>
      <c r="X12" s="221" t="s">
        <v>863</v>
      </c>
      <c r="Z12" s="216" t="s">
        <v>870</v>
      </c>
      <c r="AA12" s="219" t="s">
        <v>385</v>
      </c>
      <c r="AB12" s="221" t="s">
        <v>872</v>
      </c>
      <c r="AD12" s="187"/>
      <c r="AE12" s="158"/>
      <c r="AF12" s="158"/>
      <c r="AH12" s="187"/>
      <c r="AI12" s="158"/>
      <c r="AJ12" s="158"/>
      <c r="AL12" s="187"/>
      <c r="AM12" s="158"/>
      <c r="AN12" s="158"/>
      <c r="AP12" s="187"/>
      <c r="AQ12" s="158"/>
      <c r="AR12" s="158"/>
      <c r="AT12" s="187"/>
      <c r="AU12" s="158"/>
      <c r="AV12" s="158"/>
      <c r="AX12" s="187"/>
      <c r="AY12" s="158"/>
      <c r="AZ12" s="158"/>
      <c r="BB12" s="187"/>
      <c r="BC12" s="158"/>
      <c r="BD12" s="158"/>
      <c r="BF12" s="187"/>
      <c r="BG12" s="158"/>
      <c r="BH12" s="158"/>
    </row>
    <row r="13" spans="1:60" x14ac:dyDescent="0.2">
      <c r="A13" s="187"/>
      <c r="B13" s="5"/>
      <c r="C13" s="5"/>
      <c r="D13" s="28"/>
      <c r="E13" s="44"/>
      <c r="F13" s="187"/>
      <c r="G13" s="5"/>
      <c r="H13" s="5"/>
      <c r="I13" s="44"/>
      <c r="J13" s="187"/>
      <c r="K13" s="4"/>
      <c r="L13" s="4"/>
      <c r="N13" s="187"/>
      <c r="O13" s="4"/>
      <c r="P13" s="4"/>
      <c r="R13" s="187"/>
      <c r="S13" s="4"/>
      <c r="T13" s="4"/>
      <c r="V13" s="217"/>
      <c r="W13" s="220"/>
      <c r="X13" s="222"/>
      <c r="Z13" s="217"/>
      <c r="AA13" s="220"/>
      <c r="AB13" s="222"/>
      <c r="AD13" s="187"/>
      <c r="AE13" s="4"/>
      <c r="AF13" s="4"/>
      <c r="AH13" s="187"/>
      <c r="AI13" s="4"/>
      <c r="AJ13" s="4"/>
      <c r="AL13" s="187"/>
      <c r="AM13" s="4"/>
      <c r="AN13" s="4"/>
      <c r="AP13" s="187"/>
      <c r="AQ13" s="4"/>
      <c r="AR13" s="4"/>
      <c r="AT13" s="187"/>
      <c r="AU13" s="4"/>
      <c r="AV13" s="4"/>
      <c r="AX13" s="187"/>
      <c r="AY13" s="4"/>
      <c r="AZ13" s="4"/>
      <c r="BB13" s="187"/>
      <c r="BC13" s="4"/>
      <c r="BD13" s="4"/>
      <c r="BF13" s="187"/>
      <c r="BG13" s="4"/>
      <c r="BH13" s="4"/>
    </row>
    <row r="14" spans="1:60" x14ac:dyDescent="0.2">
      <c r="A14" s="187"/>
      <c r="B14" s="5"/>
      <c r="C14" s="5"/>
      <c r="D14" s="28"/>
      <c r="E14" s="44"/>
      <c r="F14" s="187"/>
      <c r="G14" s="5"/>
      <c r="H14" s="5"/>
      <c r="I14" s="44"/>
      <c r="J14" s="187"/>
      <c r="K14" s="4"/>
      <c r="L14" s="4"/>
      <c r="N14" s="187"/>
      <c r="O14" s="4"/>
      <c r="P14" s="4"/>
      <c r="R14" s="187"/>
      <c r="S14" s="4"/>
      <c r="T14" s="4"/>
      <c r="V14" s="217"/>
      <c r="W14" s="141"/>
      <c r="X14" s="4"/>
      <c r="Z14" s="217"/>
      <c r="AA14" s="141"/>
      <c r="AB14" s="4"/>
      <c r="AD14" s="187"/>
      <c r="AE14" s="4"/>
      <c r="AF14" s="4"/>
      <c r="AH14" s="187"/>
      <c r="AI14" s="4"/>
      <c r="AJ14" s="4"/>
      <c r="AL14" s="187"/>
      <c r="AM14" s="4"/>
      <c r="AN14" s="4"/>
      <c r="AP14" s="187"/>
      <c r="AQ14" s="4"/>
      <c r="AR14" s="4"/>
      <c r="AT14" s="187"/>
      <c r="AU14" s="4"/>
      <c r="AV14" s="4"/>
      <c r="AX14" s="187"/>
      <c r="AY14" s="4"/>
      <c r="AZ14" s="4"/>
      <c r="BB14" s="187"/>
      <c r="BC14" s="4"/>
      <c r="BD14" s="4"/>
      <c r="BF14" s="187"/>
      <c r="BG14" s="4"/>
      <c r="BH14" s="4"/>
    </row>
    <row r="15" spans="1:60" x14ac:dyDescent="0.2">
      <c r="A15" s="223" t="s">
        <v>117</v>
      </c>
      <c r="B15" s="25" t="s">
        <v>117</v>
      </c>
      <c r="C15" s="25" t="s">
        <v>863</v>
      </c>
      <c r="D15" s="28"/>
      <c r="E15" s="44"/>
      <c r="F15" s="6"/>
      <c r="G15" s="151"/>
      <c r="H15" s="141"/>
      <c r="I15" s="44"/>
      <c r="J15" s="6"/>
      <c r="K15" s="151"/>
      <c r="L15" s="141"/>
      <c r="N15" s="6"/>
      <c r="O15" s="151"/>
      <c r="P15" s="141"/>
      <c r="R15" s="6"/>
      <c r="S15" s="206"/>
      <c r="T15" s="207"/>
      <c r="V15" s="217"/>
      <c r="W15" s="141"/>
      <c r="X15" s="4"/>
      <c r="Z15" s="217"/>
      <c r="AA15" s="141"/>
      <c r="AB15" s="4"/>
      <c r="AD15" s="6"/>
      <c r="AE15" s="206"/>
      <c r="AF15" s="207"/>
      <c r="AH15" s="6"/>
      <c r="AI15" s="206"/>
      <c r="AJ15" s="207"/>
      <c r="AL15" s="6"/>
      <c r="AM15" s="206"/>
      <c r="AN15" s="207"/>
      <c r="AP15" s="6"/>
      <c r="AQ15" s="206"/>
      <c r="AR15" s="207"/>
      <c r="AT15" s="6"/>
      <c r="AU15" s="206"/>
      <c r="AV15" s="207"/>
      <c r="AX15" s="6"/>
      <c r="AY15" s="206"/>
      <c r="AZ15" s="207"/>
      <c r="BB15" s="6"/>
      <c r="BC15" s="206"/>
      <c r="BD15" s="207"/>
      <c r="BF15" s="6"/>
      <c r="BG15" s="151"/>
      <c r="BH15" s="141"/>
    </row>
    <row r="16" spans="1:60" x14ac:dyDescent="0.2">
      <c r="A16" s="224"/>
      <c r="B16" s="5"/>
      <c r="C16" s="5"/>
      <c r="D16" s="27"/>
      <c r="E16" s="39"/>
      <c r="F16" s="39"/>
      <c r="G16" s="39"/>
      <c r="H16" s="39"/>
      <c r="I16" s="39"/>
      <c r="J16" s="3"/>
      <c r="K16" s="1"/>
      <c r="L16" s="1"/>
      <c r="V16" s="217"/>
      <c r="Z16" s="217"/>
    </row>
    <row r="17" spans="1:28" x14ac:dyDescent="0.2">
      <c r="A17" s="225"/>
      <c r="B17" s="5"/>
      <c r="C17" s="5"/>
      <c r="D17" s="27"/>
      <c r="E17" s="39"/>
      <c r="F17" s="77"/>
      <c r="G17" s="1"/>
      <c r="I17" s="39"/>
      <c r="J17" s="45"/>
      <c r="V17" s="217"/>
      <c r="W17" s="159">
        <v>259</v>
      </c>
      <c r="X17" s="91">
        <v>-2.0099999999999998</v>
      </c>
      <c r="Z17" s="217"/>
      <c r="AA17" s="25" t="s">
        <v>117</v>
      </c>
      <c r="AB17" s="25" t="s">
        <v>863</v>
      </c>
    </row>
    <row r="18" spans="1:28" x14ac:dyDescent="0.2">
      <c r="A18" s="60" t="s">
        <v>864</v>
      </c>
      <c r="B18" s="5" t="s">
        <v>158</v>
      </c>
      <c r="C18" s="51"/>
      <c r="E18" s="39"/>
      <c r="F18" s="1"/>
      <c r="V18" s="217"/>
      <c r="W18" s="160"/>
      <c r="X18" s="67"/>
      <c r="Z18" s="217"/>
      <c r="AA18" s="160"/>
      <c r="AB18" s="67"/>
    </row>
    <row r="19" spans="1:28" x14ac:dyDescent="0.2">
      <c r="A19" s="60" t="s">
        <v>864</v>
      </c>
      <c r="B19" s="5" t="s">
        <v>51</v>
      </c>
      <c r="C19" s="51"/>
      <c r="E19" s="39"/>
      <c r="F19" s="1"/>
      <c r="V19" s="217"/>
      <c r="W19" s="91" t="s">
        <v>78</v>
      </c>
      <c r="X19" s="91">
        <v>-3.5</v>
      </c>
      <c r="Z19" s="217"/>
      <c r="AA19" s="91" t="s">
        <v>78</v>
      </c>
      <c r="AB19" s="91">
        <v>-1.38</v>
      </c>
    </row>
    <row r="20" spans="1:28" x14ac:dyDescent="0.2">
      <c r="A20" s="39"/>
      <c r="B20" s="51"/>
      <c r="C20" s="51"/>
      <c r="E20" s="39"/>
      <c r="F20" s="1"/>
      <c r="V20" s="217"/>
      <c r="W20" s="160"/>
      <c r="X20" s="67"/>
      <c r="Z20" s="217"/>
      <c r="AA20" s="160"/>
      <c r="AB20" s="67"/>
    </row>
    <row r="21" spans="1:28" x14ac:dyDescent="0.2">
      <c r="A21" s="39"/>
      <c r="B21" s="51"/>
      <c r="C21" s="51"/>
      <c r="E21" s="39"/>
      <c r="F21" s="1"/>
      <c r="V21" s="217"/>
      <c r="W21" s="160"/>
      <c r="X21" s="67"/>
      <c r="Z21" s="217"/>
      <c r="AA21" s="160"/>
      <c r="AB21" s="67"/>
    </row>
    <row r="22" spans="1:28" x14ac:dyDescent="0.2">
      <c r="A22" s="39"/>
      <c r="B22" s="51"/>
      <c r="C22" s="51"/>
      <c r="E22" s="39"/>
      <c r="F22" s="1"/>
      <c r="V22" s="217"/>
      <c r="W22" s="91" t="s">
        <v>213</v>
      </c>
      <c r="X22" s="91">
        <v>2.21</v>
      </c>
      <c r="Z22" s="217"/>
      <c r="AA22" s="57" t="s">
        <v>213</v>
      </c>
      <c r="AB22" s="57">
        <v>-5.67</v>
      </c>
    </row>
    <row r="23" spans="1:28" x14ac:dyDescent="0.2">
      <c r="A23" s="39"/>
      <c r="B23" s="51"/>
      <c r="C23" s="51"/>
      <c r="E23" s="39"/>
      <c r="F23" s="1"/>
      <c r="V23" s="217"/>
      <c r="W23" s="67"/>
      <c r="X23" s="67"/>
      <c r="Z23" s="217"/>
      <c r="AA23" s="67"/>
      <c r="AB23" s="67"/>
    </row>
    <row r="24" spans="1:28" x14ac:dyDescent="0.2">
      <c r="A24" s="39"/>
      <c r="B24" s="51"/>
      <c r="C24" s="51"/>
      <c r="E24" s="39"/>
      <c r="F24" s="2"/>
      <c r="V24" s="218"/>
      <c r="W24" s="67"/>
      <c r="X24" s="67"/>
      <c r="Z24" s="218"/>
      <c r="AA24" s="67"/>
      <c r="AB24" s="67"/>
    </row>
    <row r="25" spans="1:28" x14ac:dyDescent="0.2">
      <c r="A25" s="39"/>
      <c r="V25" s="186">
        <v>149</v>
      </c>
      <c r="W25" s="29" t="s">
        <v>374</v>
      </c>
      <c r="X25" s="64">
        <v>-1.42</v>
      </c>
      <c r="Z25" s="186">
        <v>349</v>
      </c>
      <c r="AA25" s="29" t="s">
        <v>433</v>
      </c>
      <c r="AB25" s="64">
        <v>-3.67</v>
      </c>
    </row>
    <row r="26" spans="1:28" x14ac:dyDescent="0.2">
      <c r="A26" s="39"/>
      <c r="V26" s="186"/>
      <c r="W26" s="90"/>
      <c r="X26" s="90"/>
      <c r="Z26" s="186"/>
      <c r="AA26" s="90"/>
      <c r="AB26" s="90"/>
    </row>
    <row r="27" spans="1:28" x14ac:dyDescent="0.2">
      <c r="V27" s="186"/>
      <c r="W27" s="90"/>
      <c r="X27" s="90"/>
      <c r="Z27" s="186"/>
      <c r="AA27" s="90"/>
      <c r="AB27" s="90"/>
    </row>
    <row r="28" spans="1:28" x14ac:dyDescent="0.2">
      <c r="W28" s="51"/>
      <c r="X28" s="51"/>
    </row>
    <row r="29" spans="1:28" x14ac:dyDescent="0.2">
      <c r="V29" s="25" t="s">
        <v>180</v>
      </c>
      <c r="W29" s="25" t="s">
        <v>656</v>
      </c>
      <c r="X29" s="51"/>
    </row>
    <row r="30" spans="1:28" x14ac:dyDescent="0.2">
      <c r="V30" s="26" t="s">
        <v>374</v>
      </c>
      <c r="W30" s="65">
        <v>-1.42</v>
      </c>
      <c r="X30" s="51"/>
    </row>
    <row r="31" spans="1:28" x14ac:dyDescent="0.2">
      <c r="V31" s="161">
        <v>259</v>
      </c>
      <c r="W31" s="57">
        <v>-2.0099999999999998</v>
      </c>
      <c r="X31" s="51"/>
    </row>
    <row r="32" spans="1:28" x14ac:dyDescent="0.2">
      <c r="V32" s="57" t="s">
        <v>78</v>
      </c>
      <c r="W32" s="57">
        <v>-3.5</v>
      </c>
      <c r="X32" s="51"/>
    </row>
    <row r="33" spans="22:25" x14ac:dyDescent="0.2">
      <c r="V33" s="87" t="s">
        <v>864</v>
      </c>
      <c r="W33" s="57">
        <v>75</v>
      </c>
      <c r="X33" s="51"/>
    </row>
    <row r="34" spans="22:25" x14ac:dyDescent="0.2">
      <c r="V34" s="87" t="s">
        <v>864</v>
      </c>
      <c r="W34" s="57">
        <v>82</v>
      </c>
      <c r="X34" s="51"/>
    </row>
    <row r="35" spans="22:25" x14ac:dyDescent="0.2">
      <c r="W35" s="51"/>
      <c r="X35" s="51"/>
    </row>
    <row r="36" spans="22:25" x14ac:dyDescent="0.2">
      <c r="V36" s="15" t="s">
        <v>180</v>
      </c>
      <c r="W36" s="15" t="s">
        <v>656</v>
      </c>
      <c r="X36" s="214" t="s">
        <v>881</v>
      </c>
      <c r="Y36" s="215"/>
    </row>
    <row r="37" spans="22:25" x14ac:dyDescent="0.2">
      <c r="V37" s="12" t="s">
        <v>374</v>
      </c>
      <c r="W37" s="66">
        <v>-1.42</v>
      </c>
      <c r="X37" s="51"/>
    </row>
    <row r="38" spans="22:25" x14ac:dyDescent="0.2">
      <c r="V38" s="48">
        <v>259</v>
      </c>
      <c r="W38" s="48">
        <v>-2.0099999999999998</v>
      </c>
      <c r="X38" s="51"/>
    </row>
    <row r="39" spans="22:25" x14ac:dyDescent="0.2">
      <c r="V39" s="48" t="s">
        <v>213</v>
      </c>
      <c r="W39" s="48">
        <v>2.21</v>
      </c>
      <c r="X39" s="51"/>
    </row>
    <row r="40" spans="22:25" x14ac:dyDescent="0.2">
      <c r="V40" s="10" t="s">
        <v>864</v>
      </c>
      <c r="W40" s="15" t="s">
        <v>882</v>
      </c>
      <c r="X40" s="51"/>
    </row>
    <row r="41" spans="22:25" x14ac:dyDescent="0.2">
      <c r="V41" s="10" t="s">
        <v>864</v>
      </c>
      <c r="W41" s="15" t="s">
        <v>52</v>
      </c>
      <c r="X41" s="51"/>
    </row>
    <row r="42" spans="22:25" x14ac:dyDescent="0.2">
      <c r="W42" s="2"/>
      <c r="X42" s="51"/>
    </row>
    <row r="43" spans="22:25" x14ac:dyDescent="0.2">
      <c r="V43" s="15" t="s">
        <v>180</v>
      </c>
      <c r="W43" s="15" t="s">
        <v>656</v>
      </c>
      <c r="X43" s="214" t="s">
        <v>883</v>
      </c>
      <c r="Y43" s="215"/>
    </row>
    <row r="44" spans="22:25" x14ac:dyDescent="0.2">
      <c r="V44" s="12" t="s">
        <v>374</v>
      </c>
      <c r="W44" s="12">
        <v>-1.42</v>
      </c>
      <c r="X44" s="51"/>
    </row>
    <row r="45" spans="22:25" x14ac:dyDescent="0.2">
      <c r="V45" s="48" t="s">
        <v>78</v>
      </c>
      <c r="W45" s="15">
        <v>-3.5</v>
      </c>
      <c r="X45" s="51"/>
    </row>
    <row r="46" spans="22:25" x14ac:dyDescent="0.2">
      <c r="V46" s="48" t="s">
        <v>213</v>
      </c>
      <c r="W46" s="15">
        <v>2.21</v>
      </c>
      <c r="X46" s="51"/>
    </row>
    <row r="47" spans="22:25" x14ac:dyDescent="0.2">
      <c r="V47" s="10" t="s">
        <v>864</v>
      </c>
      <c r="W47" s="15" t="s">
        <v>882</v>
      </c>
      <c r="X47" s="51"/>
    </row>
    <row r="48" spans="22:25" x14ac:dyDescent="0.2">
      <c r="V48" s="10" t="s">
        <v>864</v>
      </c>
      <c r="W48" s="15" t="s">
        <v>52</v>
      </c>
      <c r="X48" s="51"/>
    </row>
    <row r="49" spans="23:24" x14ac:dyDescent="0.2">
      <c r="W49" s="51"/>
      <c r="X49" s="51"/>
    </row>
  </sheetData>
  <mergeCells count="61">
    <mergeCell ref="BF12:BF14"/>
    <mergeCell ref="AY15:AZ15"/>
    <mergeCell ref="BC15:BD15"/>
    <mergeCell ref="A15:A17"/>
    <mergeCell ref="AU15:AV15"/>
    <mergeCell ref="AX12:AX14"/>
    <mergeCell ref="BB12:BB14"/>
    <mergeCell ref="S15:T15"/>
    <mergeCell ref="AH12:AH14"/>
    <mergeCell ref="AL12:AL14"/>
    <mergeCell ref="AT12:AT14"/>
    <mergeCell ref="Z12:Z24"/>
    <mergeCell ref="AA12:AA13"/>
    <mergeCell ref="AB12:AB13"/>
    <mergeCell ref="AD12:AD14"/>
    <mergeCell ref="AI15:AJ15"/>
    <mergeCell ref="AM15:AN15"/>
    <mergeCell ref="AQ15:AR15"/>
    <mergeCell ref="BF10:BH10"/>
    <mergeCell ref="A12:A14"/>
    <mergeCell ref="F12:F14"/>
    <mergeCell ref="J12:J14"/>
    <mergeCell ref="N12:N14"/>
    <mergeCell ref="R12:R14"/>
    <mergeCell ref="V12:V24"/>
    <mergeCell ref="W12:W13"/>
    <mergeCell ref="X12:X13"/>
    <mergeCell ref="AP12:AP14"/>
    <mergeCell ref="AH10:AJ10"/>
    <mergeCell ref="AL10:AN10"/>
    <mergeCell ref="AP10:AR10"/>
    <mergeCell ref="AT10:AV10"/>
    <mergeCell ref="AX10:AZ10"/>
    <mergeCell ref="BB10:BD10"/>
    <mergeCell ref="F10:H10"/>
    <mergeCell ref="J10:L10"/>
    <mergeCell ref="N10:P10"/>
    <mergeCell ref="R10:T10"/>
    <mergeCell ref="V10:X10"/>
    <mergeCell ref="Z10:AB10"/>
    <mergeCell ref="BF9:BH9"/>
    <mergeCell ref="AH9:AJ9"/>
    <mergeCell ref="A9:C9"/>
    <mergeCell ref="N9:P9"/>
    <mergeCell ref="R9:T9"/>
    <mergeCell ref="F9:H9"/>
    <mergeCell ref="J9:L9"/>
    <mergeCell ref="AL9:AN9"/>
    <mergeCell ref="AP9:AR9"/>
    <mergeCell ref="AT9:AV9"/>
    <mergeCell ref="AX9:AZ9"/>
    <mergeCell ref="BB9:BD9"/>
    <mergeCell ref="X43:Y43"/>
    <mergeCell ref="V9:X9"/>
    <mergeCell ref="Z9:AB9"/>
    <mergeCell ref="AD9:AF9"/>
    <mergeCell ref="V25:V27"/>
    <mergeCell ref="Z25:Z27"/>
    <mergeCell ref="X36:Y36"/>
    <mergeCell ref="AE15:AF15"/>
    <mergeCell ref="AD10:AF10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R154"/>
  <sheetViews>
    <sheetView tabSelected="1" topLeftCell="AN25" workbookViewId="0">
      <selection activeCell="AM58" sqref="AM58:AM63"/>
    </sheetView>
  </sheetViews>
  <sheetFormatPr defaultRowHeight="12.75" x14ac:dyDescent="0.2"/>
  <cols>
    <col min="6" max="6" width="10.140625" customWidth="1"/>
    <col min="7" max="7" width="9.85546875" customWidth="1"/>
    <col min="56" max="56" width="10" customWidth="1"/>
  </cols>
  <sheetData>
    <row r="2" spans="1:120" x14ac:dyDescent="0.2">
      <c r="A2" s="9"/>
      <c r="B2" s="152">
        <v>7.89</v>
      </c>
      <c r="C2" s="152">
        <v>19.7</v>
      </c>
      <c r="D2" s="152">
        <v>31.5</v>
      </c>
      <c r="E2" s="153">
        <v>41.76</v>
      </c>
      <c r="F2" s="143" t="s">
        <v>861</v>
      </c>
      <c r="G2" s="143" t="s">
        <v>862</v>
      </c>
      <c r="H2" s="143">
        <v>62.35</v>
      </c>
      <c r="I2" s="143">
        <v>70.22</v>
      </c>
      <c r="J2" s="1"/>
      <c r="K2" s="1"/>
      <c r="L2" s="2"/>
    </row>
    <row r="3" spans="1:120" x14ac:dyDescent="0.2">
      <c r="A3" s="19" t="s">
        <v>0</v>
      </c>
      <c r="B3" s="154">
        <f>F2/B2</f>
        <v>6.3371356147021549</v>
      </c>
      <c r="C3" s="154">
        <f>F2/C2</f>
        <v>2.5380710659898478</v>
      </c>
      <c r="D3" s="154">
        <f>F2/D2</f>
        <v>1.5873015873015872</v>
      </c>
      <c r="E3" s="154">
        <f>F2/E2</f>
        <v>1.1973180076628354</v>
      </c>
      <c r="F3" s="154">
        <f>F2/F2</f>
        <v>1</v>
      </c>
      <c r="G3" s="154">
        <f>F2/G2</f>
        <v>0.90090090090090091</v>
      </c>
      <c r="H3" s="154">
        <f>F2/H2</f>
        <v>0.80192461908580592</v>
      </c>
      <c r="I3" s="154">
        <f>F2/I2</f>
        <v>0.71204784961549417</v>
      </c>
      <c r="J3" s="1" t="s">
        <v>540</v>
      </c>
      <c r="K3" s="12">
        <f>B3/I3</f>
        <v>8.8998732572877071</v>
      </c>
      <c r="L3" s="2"/>
    </row>
    <row r="4" spans="1:120" x14ac:dyDescent="0.2">
      <c r="A4" s="19" t="s">
        <v>1</v>
      </c>
      <c r="B4" s="154"/>
      <c r="C4" s="154">
        <f t="shared" ref="C4:I4" si="0">B3/C3</f>
        <v>2.496831432192649</v>
      </c>
      <c r="D4" s="154">
        <f t="shared" si="0"/>
        <v>1.5989847715736041</v>
      </c>
      <c r="E4" s="155">
        <f t="shared" si="0"/>
        <v>1.3257142857142856</v>
      </c>
      <c r="F4" s="146">
        <f t="shared" si="0"/>
        <v>1.1973180076628354</v>
      </c>
      <c r="G4" s="146">
        <f t="shared" si="0"/>
        <v>1.1099999999999999</v>
      </c>
      <c r="H4" s="146">
        <f t="shared" si="0"/>
        <v>1.1234234234234235</v>
      </c>
      <c r="I4" s="146">
        <f t="shared" si="0"/>
        <v>1.1262229350441058</v>
      </c>
      <c r="J4" s="1"/>
      <c r="K4" s="1"/>
      <c r="L4" s="2"/>
    </row>
    <row r="5" spans="1:120" x14ac:dyDescent="0.2">
      <c r="A5" s="162"/>
      <c r="B5" s="156">
        <f t="shared" ref="B5:I5" si="1">100/B3</f>
        <v>15.78</v>
      </c>
      <c r="C5" s="156">
        <f t="shared" si="1"/>
        <v>39.4</v>
      </c>
      <c r="D5" s="156">
        <f t="shared" si="1"/>
        <v>63</v>
      </c>
      <c r="E5" s="157">
        <f t="shared" si="1"/>
        <v>83.52</v>
      </c>
      <c r="F5" s="148">
        <f t="shared" si="1"/>
        <v>100</v>
      </c>
      <c r="G5" s="148">
        <f t="shared" si="1"/>
        <v>111</v>
      </c>
      <c r="H5" s="148">
        <f t="shared" si="1"/>
        <v>124.7</v>
      </c>
      <c r="I5" s="148">
        <f t="shared" si="1"/>
        <v>140.44</v>
      </c>
      <c r="J5" s="1"/>
      <c r="K5" s="1"/>
      <c r="L5" s="2"/>
    </row>
    <row r="6" spans="1:120" x14ac:dyDescent="0.2">
      <c r="B6" s="156">
        <f>1/B3</f>
        <v>0.1578</v>
      </c>
      <c r="C6" s="156">
        <f t="shared" ref="C6:I6" si="2">1/C3</f>
        <v>0.39400000000000002</v>
      </c>
      <c r="D6" s="156">
        <f t="shared" si="2"/>
        <v>0.63</v>
      </c>
      <c r="E6" s="156">
        <f t="shared" si="2"/>
        <v>0.83519999999999994</v>
      </c>
      <c r="F6" s="156">
        <f t="shared" si="2"/>
        <v>1</v>
      </c>
      <c r="G6" s="156">
        <f t="shared" si="2"/>
        <v>1.1099999999999999</v>
      </c>
      <c r="H6" s="156">
        <f t="shared" si="2"/>
        <v>1.2470000000000001</v>
      </c>
      <c r="I6" s="156">
        <f t="shared" si="2"/>
        <v>1.4044000000000001</v>
      </c>
      <c r="J6" s="3"/>
      <c r="K6" s="1"/>
      <c r="L6" s="1"/>
      <c r="W6" s="163"/>
    </row>
    <row r="8" spans="1:120" x14ac:dyDescent="0.2">
      <c r="A8" s="188" t="s">
        <v>60</v>
      </c>
      <c r="B8" s="188"/>
      <c r="C8" s="188"/>
      <c r="D8" s="27"/>
      <c r="E8" s="39"/>
      <c r="F8" s="191" t="s">
        <v>97</v>
      </c>
      <c r="G8" s="192"/>
      <c r="H8" s="192"/>
      <c r="J8" s="191" t="s">
        <v>98</v>
      </c>
      <c r="K8" s="192"/>
      <c r="L8" s="192"/>
      <c r="N8" s="191" t="s">
        <v>99</v>
      </c>
      <c r="O8" s="192"/>
      <c r="P8" s="192"/>
      <c r="R8" s="191" t="s">
        <v>100</v>
      </c>
      <c r="S8" s="192"/>
      <c r="T8" s="192"/>
      <c r="V8" s="191" t="s">
        <v>101</v>
      </c>
      <c r="W8" s="192"/>
      <c r="X8" s="192"/>
      <c r="Z8" s="191" t="s">
        <v>102</v>
      </c>
      <c r="AA8" s="192"/>
      <c r="AB8" s="192"/>
      <c r="AD8" s="191" t="s">
        <v>235</v>
      </c>
      <c r="AE8" s="192"/>
      <c r="AF8" s="192"/>
      <c r="AH8" s="191" t="s">
        <v>241</v>
      </c>
      <c r="AI8" s="192"/>
      <c r="AJ8" s="192"/>
      <c r="AL8" s="191" t="s">
        <v>247</v>
      </c>
      <c r="AM8" s="192"/>
      <c r="AN8" s="192"/>
      <c r="AP8" s="191" t="s">
        <v>253</v>
      </c>
      <c r="AQ8" s="192"/>
      <c r="AR8" s="192"/>
      <c r="AT8" s="191" t="s">
        <v>265</v>
      </c>
      <c r="AU8" s="192"/>
      <c r="AV8" s="192"/>
      <c r="AX8" s="191" t="s">
        <v>270</v>
      </c>
      <c r="AY8" s="192"/>
      <c r="AZ8" s="192"/>
      <c r="BB8" s="191" t="s">
        <v>271</v>
      </c>
      <c r="BC8" s="192"/>
      <c r="BD8" s="192"/>
      <c r="BF8" s="191" t="s">
        <v>277</v>
      </c>
      <c r="BG8" s="192"/>
      <c r="BH8" s="192"/>
      <c r="BJ8" s="191" t="s">
        <v>285</v>
      </c>
      <c r="BK8" s="192"/>
      <c r="BL8" s="192"/>
      <c r="BN8" s="191" t="s">
        <v>724</v>
      </c>
      <c r="BO8" s="192"/>
      <c r="BP8" s="192"/>
      <c r="BR8" s="191" t="s">
        <v>725</v>
      </c>
      <c r="BS8" s="192"/>
      <c r="BT8" s="192"/>
      <c r="BV8" s="191" t="s">
        <v>805</v>
      </c>
      <c r="BW8" s="192"/>
      <c r="BX8" s="192"/>
      <c r="BZ8" s="191" t="s">
        <v>808</v>
      </c>
      <c r="CA8" s="192"/>
      <c r="CB8" s="192"/>
      <c r="CD8" s="191" t="s">
        <v>814</v>
      </c>
      <c r="CE8" s="192"/>
      <c r="CF8" s="192"/>
      <c r="CH8" s="191" t="s">
        <v>816</v>
      </c>
      <c r="CI8" s="192"/>
      <c r="CJ8" s="192"/>
      <c r="CL8" s="191" t="s">
        <v>817</v>
      </c>
      <c r="CM8" s="192"/>
      <c r="CN8" s="192"/>
      <c r="CP8" s="191" t="s">
        <v>826</v>
      </c>
      <c r="CQ8" s="192"/>
      <c r="CR8" s="192"/>
      <c r="CT8" s="191" t="s">
        <v>827</v>
      </c>
      <c r="CU8" s="192"/>
      <c r="CV8" s="192"/>
      <c r="CX8" s="191" t="s">
        <v>942</v>
      </c>
      <c r="CY8" s="192"/>
      <c r="CZ8" s="192"/>
      <c r="DB8" s="191" t="s">
        <v>945</v>
      </c>
      <c r="DC8" s="192"/>
      <c r="DD8" s="192"/>
      <c r="DF8" s="191" t="s">
        <v>946</v>
      </c>
      <c r="DG8" s="192"/>
      <c r="DH8" s="192"/>
      <c r="DJ8" s="191" t="s">
        <v>949</v>
      </c>
      <c r="DK8" s="192"/>
      <c r="DL8" s="192"/>
      <c r="DN8" s="189" t="s">
        <v>959</v>
      </c>
      <c r="DO8" s="189"/>
      <c r="DP8" s="189"/>
    </row>
    <row r="9" spans="1:120" x14ac:dyDescent="0.2">
      <c r="D9" s="27"/>
      <c r="E9" s="39"/>
      <c r="F9" s="194" t="s">
        <v>888</v>
      </c>
      <c r="G9" s="195"/>
      <c r="H9" s="195"/>
      <c r="J9" s="194" t="s">
        <v>894</v>
      </c>
      <c r="K9" s="195"/>
      <c r="L9" s="195"/>
      <c r="N9" s="194" t="s">
        <v>384</v>
      </c>
      <c r="O9" s="195"/>
      <c r="P9" s="195"/>
      <c r="R9" s="194" t="s">
        <v>900</v>
      </c>
      <c r="S9" s="195"/>
      <c r="T9" s="195"/>
      <c r="V9" s="194" t="s">
        <v>828</v>
      </c>
      <c r="W9" s="195"/>
      <c r="X9" s="195"/>
      <c r="Z9" s="194" t="s">
        <v>637</v>
      </c>
      <c r="AA9" s="195"/>
      <c r="AB9" s="195"/>
      <c r="AD9" s="194" t="s">
        <v>217</v>
      </c>
      <c r="AE9" s="195"/>
      <c r="AF9" s="195"/>
      <c r="AH9" s="194" t="s">
        <v>266</v>
      </c>
      <c r="AI9" s="195"/>
      <c r="AJ9" s="195"/>
      <c r="AL9" s="194" t="s">
        <v>230</v>
      </c>
      <c r="AM9" s="195"/>
      <c r="AN9" s="195"/>
      <c r="AP9" s="194" t="s">
        <v>912</v>
      </c>
      <c r="AQ9" s="195"/>
      <c r="AR9" s="195"/>
      <c r="AT9" s="194" t="s">
        <v>119</v>
      </c>
      <c r="AU9" s="195"/>
      <c r="AV9" s="195"/>
      <c r="AX9" s="194" t="s">
        <v>917</v>
      </c>
      <c r="AY9" s="195"/>
      <c r="AZ9" s="195"/>
      <c r="BB9" s="194" t="s">
        <v>920</v>
      </c>
      <c r="BC9" s="195"/>
      <c r="BD9" s="195"/>
      <c r="BF9" s="194" t="s">
        <v>923</v>
      </c>
      <c r="BG9" s="195"/>
      <c r="BH9" s="195"/>
      <c r="BJ9" s="194" t="s">
        <v>924</v>
      </c>
      <c r="BK9" s="195"/>
      <c r="BL9" s="195"/>
      <c r="BN9" s="194" t="s">
        <v>926</v>
      </c>
      <c r="BO9" s="195"/>
      <c r="BP9" s="195"/>
      <c r="BR9" s="194" t="s">
        <v>929</v>
      </c>
      <c r="BS9" s="195"/>
      <c r="BT9" s="195"/>
      <c r="BV9" s="194" t="s">
        <v>262</v>
      </c>
      <c r="BW9" s="195"/>
      <c r="BX9" s="195"/>
      <c r="BZ9" s="194" t="s">
        <v>236</v>
      </c>
      <c r="CA9" s="195"/>
      <c r="CB9" s="195"/>
      <c r="CD9" s="194" t="s">
        <v>934</v>
      </c>
      <c r="CE9" s="195"/>
      <c r="CF9" s="195"/>
      <c r="CH9" s="194" t="s">
        <v>935</v>
      </c>
      <c r="CI9" s="195"/>
      <c r="CJ9" s="195"/>
      <c r="CL9" s="194" t="s">
        <v>196</v>
      </c>
      <c r="CM9" s="195"/>
      <c r="CN9" s="195"/>
      <c r="CP9" s="194" t="s">
        <v>940</v>
      </c>
      <c r="CQ9" s="195"/>
      <c r="CR9" s="195"/>
      <c r="CT9" s="194" t="s">
        <v>941</v>
      </c>
      <c r="CU9" s="195"/>
      <c r="CV9" s="195"/>
      <c r="CX9" s="194" t="s">
        <v>943</v>
      </c>
      <c r="CY9" s="195"/>
      <c r="CZ9" s="195"/>
      <c r="DB9" s="194" t="s">
        <v>944</v>
      </c>
      <c r="DC9" s="195"/>
      <c r="DD9" s="195"/>
      <c r="DF9" s="194" t="s">
        <v>947</v>
      </c>
      <c r="DG9" s="195"/>
      <c r="DH9" s="195"/>
      <c r="DJ9" s="194" t="s">
        <v>947</v>
      </c>
      <c r="DK9" s="195"/>
      <c r="DL9" s="195"/>
      <c r="DN9" s="185" t="s">
        <v>960</v>
      </c>
      <c r="DO9" s="185"/>
      <c r="DP9" s="185"/>
    </row>
    <row r="10" spans="1:120" ht="13.5" customHeight="1" x14ac:dyDescent="0.2">
      <c r="A10" s="7" t="s">
        <v>2</v>
      </c>
      <c r="B10" s="8" t="s">
        <v>3</v>
      </c>
      <c r="C10" s="20" t="s">
        <v>0</v>
      </c>
      <c r="D10" s="27"/>
      <c r="E10" s="39"/>
      <c r="F10" s="41" t="s">
        <v>2</v>
      </c>
      <c r="G10" s="41" t="s">
        <v>3</v>
      </c>
      <c r="H10" s="42" t="s">
        <v>0</v>
      </c>
      <c r="J10" s="41" t="s">
        <v>2</v>
      </c>
      <c r="K10" s="41" t="s">
        <v>3</v>
      </c>
      <c r="L10" s="42" t="s">
        <v>0</v>
      </c>
      <c r="N10" s="41" t="s">
        <v>2</v>
      </c>
      <c r="O10" s="41" t="s">
        <v>3</v>
      </c>
      <c r="P10" s="42" t="s">
        <v>0</v>
      </c>
      <c r="R10" s="41" t="s">
        <v>2</v>
      </c>
      <c r="S10" s="41" t="s">
        <v>3</v>
      </c>
      <c r="T10" s="42" t="s">
        <v>0</v>
      </c>
      <c r="V10" s="41" t="s">
        <v>2</v>
      </c>
      <c r="W10" s="41" t="s">
        <v>3</v>
      </c>
      <c r="X10" s="42" t="s">
        <v>0</v>
      </c>
      <c r="Z10" s="41" t="s">
        <v>2</v>
      </c>
      <c r="AA10" s="41" t="s">
        <v>3</v>
      </c>
      <c r="AB10" s="42" t="s">
        <v>0</v>
      </c>
      <c r="AD10" s="41" t="s">
        <v>2</v>
      </c>
      <c r="AE10" s="41" t="s">
        <v>3</v>
      </c>
      <c r="AF10" s="42" t="s">
        <v>0</v>
      </c>
      <c r="AH10" s="41" t="s">
        <v>2</v>
      </c>
      <c r="AI10" s="41" t="s">
        <v>3</v>
      </c>
      <c r="AJ10" s="42" t="s">
        <v>0</v>
      </c>
      <c r="AL10" s="41" t="s">
        <v>2</v>
      </c>
      <c r="AM10" s="41" t="s">
        <v>3</v>
      </c>
      <c r="AN10" s="42" t="s">
        <v>0</v>
      </c>
      <c r="AP10" s="41" t="s">
        <v>2</v>
      </c>
      <c r="AQ10" s="41" t="s">
        <v>3</v>
      </c>
      <c r="AR10" s="42" t="s">
        <v>0</v>
      </c>
      <c r="AT10" s="41" t="s">
        <v>2</v>
      </c>
      <c r="AU10" s="41" t="s">
        <v>3</v>
      </c>
      <c r="AV10" s="42" t="s">
        <v>0</v>
      </c>
      <c r="AX10" s="41" t="s">
        <v>2</v>
      </c>
      <c r="AY10" s="41" t="s">
        <v>3</v>
      </c>
      <c r="AZ10" s="42" t="s">
        <v>0</v>
      </c>
      <c r="BB10" s="41" t="s">
        <v>2</v>
      </c>
      <c r="BC10" s="41" t="s">
        <v>3</v>
      </c>
      <c r="BD10" s="42" t="s">
        <v>0</v>
      </c>
      <c r="BF10" s="41" t="s">
        <v>2</v>
      </c>
      <c r="BG10" s="41" t="s">
        <v>3</v>
      </c>
      <c r="BH10" s="42" t="s">
        <v>0</v>
      </c>
      <c r="BJ10" s="41" t="s">
        <v>2</v>
      </c>
      <c r="BK10" s="41" t="s">
        <v>3</v>
      </c>
      <c r="BL10" s="42" t="s">
        <v>0</v>
      </c>
      <c r="BN10" s="41" t="s">
        <v>2</v>
      </c>
      <c r="BO10" s="41" t="s">
        <v>3</v>
      </c>
      <c r="BP10" s="42" t="s">
        <v>0</v>
      </c>
      <c r="BR10" s="41" t="s">
        <v>2</v>
      </c>
      <c r="BS10" s="41" t="s">
        <v>3</v>
      </c>
      <c r="BT10" s="42" t="s">
        <v>0</v>
      </c>
      <c r="BV10" s="41" t="s">
        <v>2</v>
      </c>
      <c r="BW10" s="41" t="s">
        <v>3</v>
      </c>
      <c r="BX10" s="42" t="s">
        <v>0</v>
      </c>
      <c r="BZ10" s="41" t="s">
        <v>2</v>
      </c>
      <c r="CA10" s="41" t="s">
        <v>3</v>
      </c>
      <c r="CB10" s="42" t="s">
        <v>0</v>
      </c>
      <c r="CD10" s="41" t="s">
        <v>2</v>
      </c>
      <c r="CE10" s="41" t="s">
        <v>3</v>
      </c>
      <c r="CF10" s="42" t="s">
        <v>0</v>
      </c>
      <c r="CH10" s="41" t="s">
        <v>2</v>
      </c>
      <c r="CI10" s="41" t="s">
        <v>3</v>
      </c>
      <c r="CJ10" s="42" t="s">
        <v>0</v>
      </c>
      <c r="CL10" s="41" t="s">
        <v>2</v>
      </c>
      <c r="CM10" s="41" t="s">
        <v>3</v>
      </c>
      <c r="CN10" s="42" t="s">
        <v>0</v>
      </c>
      <c r="CP10" s="41" t="s">
        <v>2</v>
      </c>
      <c r="CQ10" s="41" t="s">
        <v>3</v>
      </c>
      <c r="CR10" s="42" t="s">
        <v>0</v>
      </c>
      <c r="CT10" s="41" t="s">
        <v>2</v>
      </c>
      <c r="CU10" s="41" t="s">
        <v>3</v>
      </c>
      <c r="CV10" s="42" t="s">
        <v>0</v>
      </c>
      <c r="CX10" s="41" t="s">
        <v>2</v>
      </c>
      <c r="CY10" s="41" t="s">
        <v>3</v>
      </c>
      <c r="CZ10" s="42" t="s">
        <v>0</v>
      </c>
      <c r="DB10" s="41" t="s">
        <v>2</v>
      </c>
      <c r="DC10" s="41" t="s">
        <v>3</v>
      </c>
      <c r="DD10" s="42" t="s">
        <v>0</v>
      </c>
      <c r="DF10" s="41" t="s">
        <v>2</v>
      </c>
      <c r="DG10" s="41" t="s">
        <v>3</v>
      </c>
      <c r="DH10" s="42" t="s">
        <v>0</v>
      </c>
      <c r="DJ10" s="41" t="s">
        <v>2</v>
      </c>
      <c r="DK10" s="41" t="s">
        <v>3</v>
      </c>
      <c r="DL10" s="42" t="s">
        <v>0</v>
      </c>
      <c r="DN10" s="22" t="s">
        <v>2</v>
      </c>
      <c r="DO10" s="22" t="s">
        <v>3</v>
      </c>
      <c r="DP10" s="23" t="s">
        <v>0</v>
      </c>
    </row>
    <row r="11" spans="1:120" ht="12.75" hidden="1" customHeight="1" x14ac:dyDescent="0.2">
      <c r="A11" s="187" t="s">
        <v>117</v>
      </c>
      <c r="B11" s="18" t="s">
        <v>180</v>
      </c>
      <c r="C11" s="18" t="s">
        <v>656</v>
      </c>
      <c r="D11" s="28"/>
      <c r="E11" s="44"/>
      <c r="F11" s="187" t="s">
        <v>890</v>
      </c>
      <c r="G11" s="18"/>
      <c r="H11" s="18"/>
      <c r="J11" s="187" t="s">
        <v>890</v>
      </c>
      <c r="K11" s="18"/>
      <c r="L11" s="18"/>
      <c r="N11" s="187" t="s">
        <v>890</v>
      </c>
      <c r="O11" s="18"/>
      <c r="P11" s="18"/>
      <c r="R11" s="4" t="s">
        <v>890</v>
      </c>
      <c r="S11" s="18"/>
      <c r="T11" s="18"/>
      <c r="V11" s="4" t="s">
        <v>890</v>
      </c>
      <c r="W11" s="18"/>
      <c r="X11" s="18"/>
      <c r="Z11" s="4" t="s">
        <v>890</v>
      </c>
      <c r="AA11" s="18"/>
      <c r="AB11" s="18"/>
      <c r="AD11" s="4" t="s">
        <v>890</v>
      </c>
      <c r="AE11" s="18"/>
      <c r="AF11" s="18"/>
      <c r="AH11" s="4" t="s">
        <v>890</v>
      </c>
      <c r="AI11" s="18"/>
      <c r="AJ11" s="18"/>
      <c r="AL11" s="4" t="s">
        <v>890</v>
      </c>
      <c r="AM11" s="18"/>
      <c r="AN11" s="18"/>
      <c r="AP11" s="4" t="s">
        <v>890</v>
      </c>
      <c r="AQ11" s="18"/>
      <c r="AR11" s="18"/>
      <c r="AT11" s="4" t="s">
        <v>890</v>
      </c>
      <c r="AU11" s="18"/>
      <c r="AV11" s="18"/>
      <c r="AX11" s="4" t="s">
        <v>890</v>
      </c>
      <c r="AY11" s="18"/>
      <c r="AZ11" s="18"/>
      <c r="BB11" s="4" t="s">
        <v>890</v>
      </c>
      <c r="BC11" s="18"/>
      <c r="BD11" s="18"/>
      <c r="BF11" s="4" t="s">
        <v>890</v>
      </c>
      <c r="BG11" s="18"/>
      <c r="BH11" s="18"/>
      <c r="BJ11" s="4" t="s">
        <v>890</v>
      </c>
      <c r="BK11" s="18"/>
      <c r="BL11" s="18"/>
      <c r="BN11" s="4" t="s">
        <v>890</v>
      </c>
      <c r="BO11" s="18"/>
      <c r="BP11" s="18"/>
      <c r="BR11" s="4" t="s">
        <v>890</v>
      </c>
      <c r="BS11" s="18"/>
      <c r="BT11" s="18"/>
      <c r="BV11" s="4" t="s">
        <v>890</v>
      </c>
      <c r="BW11" s="18"/>
      <c r="BX11" s="18"/>
      <c r="BZ11" s="4" t="s">
        <v>890</v>
      </c>
      <c r="CA11" s="18"/>
      <c r="CB11" s="18"/>
      <c r="CD11" s="4" t="s">
        <v>890</v>
      </c>
      <c r="CE11" s="18"/>
      <c r="CF11" s="18"/>
      <c r="CH11" s="4" t="s">
        <v>890</v>
      </c>
      <c r="CI11" s="18"/>
      <c r="CJ11" s="18"/>
      <c r="CL11" s="4" t="s">
        <v>890</v>
      </c>
      <c r="CM11" s="18"/>
      <c r="CN11" s="18"/>
      <c r="CP11" s="4" t="s">
        <v>890</v>
      </c>
      <c r="CQ11" s="18"/>
      <c r="CR11" s="18"/>
      <c r="CT11" s="4" t="s">
        <v>890</v>
      </c>
      <c r="CU11" s="18"/>
      <c r="CV11" s="18"/>
      <c r="CX11" s="4" t="s">
        <v>890</v>
      </c>
      <c r="CY11" s="18"/>
      <c r="CZ11" s="18"/>
      <c r="DB11" s="4" t="s">
        <v>890</v>
      </c>
      <c r="DC11" s="18"/>
      <c r="DD11" s="18"/>
      <c r="DF11" s="4" t="s">
        <v>890</v>
      </c>
      <c r="DG11" s="18"/>
      <c r="DH11" s="18"/>
      <c r="DJ11" s="4" t="s">
        <v>890</v>
      </c>
      <c r="DK11" s="18"/>
      <c r="DL11" s="18"/>
      <c r="DN11" s="4" t="s">
        <v>890</v>
      </c>
      <c r="DO11" s="18"/>
      <c r="DP11" s="18"/>
    </row>
    <row r="12" spans="1:120" x14ac:dyDescent="0.2">
      <c r="A12" s="187"/>
      <c r="B12" s="18" t="s">
        <v>117</v>
      </c>
      <c r="C12" s="18" t="s">
        <v>884</v>
      </c>
      <c r="D12" s="28"/>
      <c r="E12" s="44"/>
      <c r="F12" s="187"/>
      <c r="G12" s="18" t="s">
        <v>117</v>
      </c>
      <c r="H12" s="18" t="s">
        <v>884</v>
      </c>
      <c r="J12" s="187"/>
      <c r="K12" s="18" t="s">
        <v>117</v>
      </c>
      <c r="L12" s="18" t="s">
        <v>884</v>
      </c>
      <c r="N12" s="187"/>
      <c r="O12" s="18" t="s">
        <v>117</v>
      </c>
      <c r="P12" s="18" t="s">
        <v>884</v>
      </c>
      <c r="R12" s="216" t="s">
        <v>902</v>
      </c>
      <c r="S12" s="18" t="s">
        <v>902</v>
      </c>
      <c r="T12" s="18" t="s">
        <v>434</v>
      </c>
      <c r="V12" s="216" t="s">
        <v>903</v>
      </c>
      <c r="W12" s="18" t="s">
        <v>904</v>
      </c>
      <c r="X12" s="18" t="s">
        <v>623</v>
      </c>
      <c r="Z12" s="216" t="s">
        <v>905</v>
      </c>
      <c r="AA12" s="25" t="s">
        <v>906</v>
      </c>
      <c r="AB12" s="25" t="s">
        <v>896</v>
      </c>
      <c r="AD12" s="216" t="s">
        <v>907</v>
      </c>
      <c r="AE12" s="25" t="s">
        <v>907</v>
      </c>
      <c r="AF12" s="25" t="s">
        <v>908</v>
      </c>
      <c r="AH12" s="216" t="s">
        <v>909</v>
      </c>
      <c r="AI12" s="18" t="s">
        <v>910</v>
      </c>
      <c r="AJ12" s="18" t="s">
        <v>645</v>
      </c>
      <c r="AL12" s="216" t="s">
        <v>911</v>
      </c>
      <c r="AM12" s="18" t="s">
        <v>911</v>
      </c>
      <c r="AN12" s="18" t="s">
        <v>602</v>
      </c>
      <c r="AP12" s="216" t="s">
        <v>905</v>
      </c>
      <c r="AQ12" s="18" t="s">
        <v>905</v>
      </c>
      <c r="AR12" s="18" t="s">
        <v>913</v>
      </c>
      <c r="AT12" s="216" t="s">
        <v>905</v>
      </c>
      <c r="AU12" s="18" t="s">
        <v>906</v>
      </c>
      <c r="AV12" s="18" t="s">
        <v>916</v>
      </c>
      <c r="AX12" s="216" t="s">
        <v>905</v>
      </c>
      <c r="AY12" s="25" t="s">
        <v>906</v>
      </c>
      <c r="AZ12" s="25" t="s">
        <v>919</v>
      </c>
      <c r="BB12" s="216" t="s">
        <v>921</v>
      </c>
      <c r="BC12" s="25" t="s">
        <v>922</v>
      </c>
      <c r="BD12" s="25" t="s">
        <v>197</v>
      </c>
      <c r="BF12" s="216" t="s">
        <v>921</v>
      </c>
      <c r="BG12" s="18" t="s">
        <v>907</v>
      </c>
      <c r="BH12" s="18" t="s">
        <v>614</v>
      </c>
      <c r="BJ12" s="216" t="s">
        <v>921</v>
      </c>
      <c r="BK12" s="25" t="s">
        <v>907</v>
      </c>
      <c r="BL12" s="25" t="s">
        <v>919</v>
      </c>
      <c r="BN12" s="216" t="s">
        <v>902</v>
      </c>
      <c r="BO12" s="18" t="s">
        <v>928</v>
      </c>
      <c r="BP12" s="18" t="s">
        <v>913</v>
      </c>
      <c r="BR12" s="216" t="s">
        <v>903</v>
      </c>
      <c r="BS12" s="25" t="s">
        <v>930</v>
      </c>
      <c r="BT12" s="25" t="s">
        <v>931</v>
      </c>
      <c r="BV12" s="216" t="s">
        <v>909</v>
      </c>
      <c r="BW12" s="18" t="s">
        <v>932</v>
      </c>
      <c r="BX12" s="18" t="s">
        <v>916</v>
      </c>
      <c r="BZ12" s="216" t="s">
        <v>911</v>
      </c>
      <c r="CA12" s="18" t="s">
        <v>933</v>
      </c>
      <c r="CB12" s="18" t="s">
        <v>614</v>
      </c>
      <c r="CD12" s="216" t="s">
        <v>909</v>
      </c>
      <c r="CE12" s="18" t="s">
        <v>909</v>
      </c>
      <c r="CF12" s="18" t="s">
        <v>546</v>
      </c>
      <c r="CH12" s="216" t="s">
        <v>909</v>
      </c>
      <c r="CI12" s="25" t="s">
        <v>909</v>
      </c>
      <c r="CJ12" s="25" t="s">
        <v>937</v>
      </c>
      <c r="CL12" s="216" t="s">
        <v>911</v>
      </c>
      <c r="CM12" s="18" t="s">
        <v>938</v>
      </c>
      <c r="CN12" s="18" t="s">
        <v>939</v>
      </c>
      <c r="CP12" s="216" t="s">
        <v>911</v>
      </c>
      <c r="CQ12" s="25" t="s">
        <v>938</v>
      </c>
      <c r="CR12" s="25" t="s">
        <v>846</v>
      </c>
      <c r="CT12" s="216" t="s">
        <v>902</v>
      </c>
      <c r="CU12" s="18" t="s">
        <v>928</v>
      </c>
      <c r="CV12" s="18" t="s">
        <v>546</v>
      </c>
      <c r="CX12" s="216" t="s">
        <v>903</v>
      </c>
      <c r="CY12" s="18" t="s">
        <v>930</v>
      </c>
      <c r="CZ12" s="18" t="s">
        <v>939</v>
      </c>
      <c r="DB12" s="216" t="s">
        <v>903</v>
      </c>
      <c r="DC12" s="25" t="s">
        <v>904</v>
      </c>
      <c r="DD12" s="25" t="s">
        <v>893</v>
      </c>
      <c r="DF12" s="216" t="s">
        <v>902</v>
      </c>
      <c r="DG12" s="25" t="s">
        <v>948</v>
      </c>
      <c r="DH12" s="25" t="s">
        <v>893</v>
      </c>
      <c r="DJ12" s="216" t="s">
        <v>902</v>
      </c>
      <c r="DK12" s="25" t="s">
        <v>948</v>
      </c>
      <c r="DL12" s="25" t="s">
        <v>893</v>
      </c>
      <c r="DN12" s="187" t="s">
        <v>967</v>
      </c>
      <c r="DO12" s="172" t="s">
        <v>961</v>
      </c>
      <c r="DP12" s="172" t="s">
        <v>962</v>
      </c>
    </row>
    <row r="13" spans="1:120" x14ac:dyDescent="0.2">
      <c r="A13" s="187"/>
      <c r="B13" s="5"/>
      <c r="C13" s="5"/>
      <c r="D13" s="28"/>
      <c r="E13" s="44"/>
      <c r="F13" s="187"/>
      <c r="G13" s="5"/>
      <c r="H13" s="5"/>
      <c r="J13" s="187"/>
      <c r="K13" s="5"/>
      <c r="L13" s="5"/>
      <c r="N13" s="187"/>
      <c r="O13" s="5"/>
      <c r="P13" s="5"/>
      <c r="R13" s="217"/>
      <c r="S13" s="5"/>
      <c r="T13" s="5"/>
      <c r="V13" s="217"/>
      <c r="W13" s="5"/>
      <c r="X13" s="5"/>
      <c r="Z13" s="217"/>
      <c r="AA13" s="5"/>
      <c r="AB13" s="5"/>
      <c r="AD13" s="217"/>
      <c r="AE13" s="5"/>
      <c r="AF13" s="5"/>
      <c r="AH13" s="217"/>
      <c r="AI13" s="5"/>
      <c r="AJ13" s="5"/>
      <c r="AL13" s="217"/>
      <c r="AM13" s="5"/>
      <c r="AN13" s="5"/>
      <c r="AP13" s="217"/>
      <c r="AQ13" s="5"/>
      <c r="AR13" s="5"/>
      <c r="AT13" s="217"/>
      <c r="AU13" s="5"/>
      <c r="AV13" s="5"/>
      <c r="AX13" s="217"/>
      <c r="AY13" s="5"/>
      <c r="AZ13" s="5"/>
      <c r="BB13" s="217"/>
      <c r="BC13" s="5"/>
      <c r="BD13" s="5"/>
      <c r="BF13" s="217"/>
      <c r="BG13" s="5"/>
      <c r="BH13" s="5"/>
      <c r="BJ13" s="217"/>
      <c r="BK13" s="5"/>
      <c r="BL13" s="5"/>
      <c r="BN13" s="217"/>
      <c r="BO13" s="5"/>
      <c r="BP13" s="5"/>
      <c r="BR13" s="217"/>
      <c r="BS13" s="5"/>
      <c r="BT13" s="5"/>
      <c r="BV13" s="217"/>
      <c r="BW13" s="5"/>
      <c r="BX13" s="5"/>
      <c r="BZ13" s="217"/>
      <c r="CA13" s="5"/>
      <c r="CB13" s="5"/>
      <c r="CD13" s="217"/>
      <c r="CE13" s="5"/>
      <c r="CF13" s="5"/>
      <c r="CH13" s="217"/>
      <c r="CI13" s="5"/>
      <c r="CJ13" s="5"/>
      <c r="CL13" s="217"/>
      <c r="CM13" s="5"/>
      <c r="CN13" s="5"/>
      <c r="CP13" s="217"/>
      <c r="CQ13" s="5"/>
      <c r="CR13" s="5"/>
      <c r="CT13" s="217"/>
      <c r="CU13" s="5"/>
      <c r="CV13" s="5"/>
      <c r="CX13" s="217"/>
      <c r="CY13" s="5"/>
      <c r="CZ13" s="5"/>
      <c r="DB13" s="217"/>
      <c r="DC13" s="5"/>
      <c r="DD13" s="5"/>
      <c r="DF13" s="217"/>
      <c r="DG13" s="5"/>
      <c r="DH13" s="5"/>
      <c r="DJ13" s="217"/>
      <c r="DK13" s="5"/>
      <c r="DL13" s="5"/>
      <c r="DN13" s="187"/>
      <c r="DO13" s="164" t="s">
        <v>963</v>
      </c>
      <c r="DP13" s="164" t="s">
        <v>964</v>
      </c>
    </row>
    <row r="14" spans="1:120" x14ac:dyDescent="0.2">
      <c r="A14" s="187"/>
      <c r="B14" s="5"/>
      <c r="C14" s="5"/>
      <c r="D14" s="28"/>
      <c r="E14" s="44"/>
      <c r="F14" s="187"/>
      <c r="G14" s="5"/>
      <c r="H14" s="5"/>
      <c r="J14" s="187"/>
      <c r="K14" s="5"/>
      <c r="L14" s="5"/>
      <c r="N14" s="187"/>
      <c r="O14" s="5"/>
      <c r="P14" s="5"/>
      <c r="R14" s="218"/>
      <c r="S14" s="5"/>
      <c r="T14" s="5"/>
      <c r="V14" s="218"/>
      <c r="W14" s="5"/>
      <c r="X14" s="5"/>
      <c r="Z14" s="218"/>
      <c r="AA14" s="5"/>
      <c r="AB14" s="5"/>
      <c r="AD14" s="218"/>
      <c r="AE14" s="5"/>
      <c r="AF14" s="5"/>
      <c r="AH14" s="218"/>
      <c r="AI14" s="5"/>
      <c r="AJ14" s="5"/>
      <c r="AL14" s="218"/>
      <c r="AM14" s="5"/>
      <c r="AN14" s="5"/>
      <c r="AP14" s="218"/>
      <c r="AQ14" s="5"/>
      <c r="AR14" s="5"/>
      <c r="AT14" s="218"/>
      <c r="AU14" s="5"/>
      <c r="AV14" s="5"/>
      <c r="AX14" s="218"/>
      <c r="AY14" s="5"/>
      <c r="AZ14" s="5"/>
      <c r="BB14" s="218"/>
      <c r="BC14" s="5"/>
      <c r="BD14" s="5"/>
      <c r="BF14" s="218"/>
      <c r="BG14" s="5"/>
      <c r="BH14" s="5"/>
      <c r="BJ14" s="218"/>
      <c r="BK14" s="5"/>
      <c r="BL14" s="5"/>
      <c r="BN14" s="218"/>
      <c r="BO14" s="5"/>
      <c r="BP14" s="5"/>
      <c r="BR14" s="218"/>
      <c r="BS14" s="5"/>
      <c r="BT14" s="5"/>
      <c r="BV14" s="218"/>
      <c r="BW14" s="5"/>
      <c r="BX14" s="5"/>
      <c r="BZ14" s="218"/>
      <c r="CA14" s="5"/>
      <c r="CB14" s="5"/>
      <c r="CD14" s="218"/>
      <c r="CE14" s="5"/>
      <c r="CF14" s="5"/>
      <c r="CH14" s="218"/>
      <c r="CI14" s="5"/>
      <c r="CJ14" s="5"/>
      <c r="CL14" s="218"/>
      <c r="CM14" s="5"/>
      <c r="CN14" s="5"/>
      <c r="CP14" s="218"/>
      <c r="CQ14" s="5"/>
      <c r="CR14" s="5"/>
      <c r="CT14" s="218"/>
      <c r="CU14" s="5"/>
      <c r="CV14" s="5"/>
      <c r="CX14" s="218"/>
      <c r="CY14" s="5"/>
      <c r="CZ14" s="5"/>
      <c r="DB14" s="218"/>
      <c r="DC14" s="5"/>
      <c r="DD14" s="5"/>
      <c r="DF14" s="218"/>
      <c r="DG14" s="5"/>
      <c r="DH14" s="5"/>
      <c r="DJ14" s="218"/>
      <c r="DK14" s="5"/>
      <c r="DL14" s="5"/>
      <c r="DN14" s="187"/>
      <c r="DO14" s="164" t="s">
        <v>965</v>
      </c>
      <c r="DP14" s="164" t="s">
        <v>966</v>
      </c>
    </row>
    <row r="15" spans="1:120" ht="12.75" hidden="1" customHeight="1" x14ac:dyDescent="0.2">
      <c r="A15" s="226">
        <v>234</v>
      </c>
      <c r="B15" s="25" t="s">
        <v>117</v>
      </c>
      <c r="C15" s="25" t="s">
        <v>863</v>
      </c>
      <c r="D15" s="28"/>
      <c r="E15" s="44"/>
      <c r="F15" s="187"/>
      <c r="G15" s="151"/>
      <c r="H15" s="141"/>
      <c r="J15" s="187"/>
      <c r="K15" s="151"/>
      <c r="L15" s="141"/>
      <c r="N15" s="187"/>
      <c r="O15" s="151"/>
      <c r="P15" s="141"/>
      <c r="R15" s="4"/>
      <c r="S15" s="151"/>
      <c r="T15" s="141"/>
      <c r="V15" s="4"/>
      <c r="W15" s="151"/>
      <c r="X15" s="141"/>
      <c r="Z15" s="4"/>
      <c r="AA15" s="151"/>
      <c r="AB15" s="141"/>
      <c r="AD15" s="4"/>
      <c r="AE15" s="151"/>
      <c r="AF15" s="141"/>
      <c r="AH15" s="4"/>
      <c r="AI15" s="151"/>
      <c r="AJ15" s="141"/>
      <c r="AL15" s="4"/>
      <c r="AM15" s="151"/>
      <c r="AN15" s="141"/>
      <c r="AP15" s="4"/>
      <c r="AQ15" s="151"/>
      <c r="AR15" s="141"/>
      <c r="AT15" s="4"/>
      <c r="AU15" s="151"/>
      <c r="AV15" s="141"/>
      <c r="AX15" s="4"/>
      <c r="AY15" s="151"/>
      <c r="AZ15" s="141"/>
      <c r="BB15" s="4"/>
      <c r="BC15" s="151"/>
      <c r="BD15" s="141"/>
      <c r="BF15" s="4"/>
      <c r="BG15" s="151"/>
      <c r="BH15" s="141"/>
      <c r="BJ15" s="4"/>
      <c r="BK15" s="151"/>
      <c r="BL15" s="141"/>
      <c r="BN15" s="4"/>
      <c r="BO15" s="151"/>
      <c r="BP15" s="141"/>
      <c r="BR15" s="4"/>
      <c r="BS15" s="151"/>
      <c r="BT15" s="141"/>
      <c r="BV15" s="4"/>
      <c r="BW15" s="151"/>
      <c r="BX15" s="141"/>
      <c r="BZ15" s="4"/>
      <c r="CA15" s="151"/>
      <c r="CB15" s="141"/>
      <c r="CD15" s="4"/>
      <c r="CE15" s="151"/>
      <c r="CF15" s="141"/>
      <c r="CH15" s="4"/>
      <c r="CI15" s="151"/>
      <c r="CJ15" s="141"/>
      <c r="CL15" s="4"/>
      <c r="CM15" s="151"/>
      <c r="CN15" s="141"/>
      <c r="CP15" s="4"/>
      <c r="CQ15" s="151"/>
      <c r="CR15" s="141"/>
      <c r="CT15" s="4"/>
      <c r="CU15" s="151"/>
      <c r="CV15" s="141"/>
      <c r="CX15" s="4"/>
      <c r="CY15" s="151"/>
      <c r="CZ15" s="141"/>
      <c r="DB15" s="4"/>
      <c r="DC15" s="151"/>
      <c r="DD15" s="141"/>
      <c r="DF15" s="4"/>
      <c r="DG15" s="151"/>
      <c r="DH15" s="141"/>
      <c r="DJ15" s="4"/>
      <c r="DK15" s="151"/>
      <c r="DL15" s="141"/>
      <c r="DN15" s="4"/>
      <c r="DO15" s="4"/>
      <c r="DP15" s="4"/>
    </row>
    <row r="16" spans="1:120" x14ac:dyDescent="0.2">
      <c r="A16" s="227"/>
      <c r="B16" s="18" t="s">
        <v>160</v>
      </c>
      <c r="C16" s="18" t="s">
        <v>885</v>
      </c>
      <c r="D16" s="27"/>
      <c r="E16" s="39"/>
      <c r="F16" s="187"/>
      <c r="G16" s="18" t="s">
        <v>889</v>
      </c>
      <c r="H16" s="18" t="s">
        <v>434</v>
      </c>
      <c r="J16" s="187"/>
      <c r="K16" s="25" t="s">
        <v>895</v>
      </c>
      <c r="L16" s="25" t="s">
        <v>896</v>
      </c>
      <c r="N16" s="187"/>
      <c r="O16" s="18" t="s">
        <v>895</v>
      </c>
      <c r="P16" s="18" t="s">
        <v>663</v>
      </c>
      <c r="R16" s="60" t="s">
        <v>864</v>
      </c>
      <c r="S16" s="5" t="s">
        <v>901</v>
      </c>
      <c r="V16" s="60" t="s">
        <v>864</v>
      </c>
      <c r="W16" s="5" t="s">
        <v>901</v>
      </c>
      <c r="Z16" s="60" t="s">
        <v>864</v>
      </c>
      <c r="AA16" s="5" t="s">
        <v>901</v>
      </c>
      <c r="AD16" s="60" t="s">
        <v>864</v>
      </c>
      <c r="AE16" s="5" t="s">
        <v>901</v>
      </c>
      <c r="AH16" s="60" t="s">
        <v>864</v>
      </c>
      <c r="AI16" s="5" t="s">
        <v>901</v>
      </c>
      <c r="AL16" s="60" t="s">
        <v>864</v>
      </c>
      <c r="AM16" s="5" t="s">
        <v>901</v>
      </c>
      <c r="AP16" s="60" t="s">
        <v>864</v>
      </c>
      <c r="AQ16" s="5" t="s">
        <v>914</v>
      </c>
      <c r="AT16" s="60" t="s">
        <v>864</v>
      </c>
      <c r="AU16" s="5" t="s">
        <v>915</v>
      </c>
      <c r="AX16" s="60" t="s">
        <v>864</v>
      </c>
      <c r="AY16" s="5" t="s">
        <v>918</v>
      </c>
      <c r="BB16" s="60" t="s">
        <v>864</v>
      </c>
      <c r="BC16" s="5" t="s">
        <v>914</v>
      </c>
      <c r="BF16" s="60" t="s">
        <v>864</v>
      </c>
      <c r="BG16" s="5" t="s">
        <v>915</v>
      </c>
      <c r="BJ16" s="60" t="s">
        <v>864</v>
      </c>
      <c r="BK16" s="5" t="s">
        <v>925</v>
      </c>
      <c r="BN16" s="60" t="s">
        <v>864</v>
      </c>
      <c r="BO16" s="5" t="s">
        <v>927</v>
      </c>
      <c r="BR16" s="60" t="s">
        <v>864</v>
      </c>
      <c r="BS16" s="5" t="s">
        <v>927</v>
      </c>
      <c r="BV16" s="60" t="s">
        <v>864</v>
      </c>
      <c r="BW16" s="5" t="s">
        <v>927</v>
      </c>
      <c r="BZ16" s="60" t="s">
        <v>864</v>
      </c>
      <c r="CA16" s="5" t="s">
        <v>927</v>
      </c>
      <c r="CD16" s="60" t="s">
        <v>864</v>
      </c>
      <c r="CE16" s="5" t="s">
        <v>914</v>
      </c>
      <c r="CH16" s="60" t="s">
        <v>864</v>
      </c>
      <c r="CI16" s="5" t="s">
        <v>936</v>
      </c>
      <c r="CL16" s="60" t="s">
        <v>864</v>
      </c>
      <c r="CM16" s="5" t="s">
        <v>914</v>
      </c>
      <c r="CP16" s="60" t="s">
        <v>864</v>
      </c>
      <c r="CQ16" s="5" t="s">
        <v>925</v>
      </c>
      <c r="CT16" s="60" t="s">
        <v>864</v>
      </c>
      <c r="CU16" s="5" t="s">
        <v>915</v>
      </c>
      <c r="CX16" s="60" t="s">
        <v>864</v>
      </c>
      <c r="CY16" s="5" t="s">
        <v>915</v>
      </c>
      <c r="DB16" s="60" t="s">
        <v>864</v>
      </c>
      <c r="DC16" s="5" t="s">
        <v>925</v>
      </c>
      <c r="DF16" s="60" t="s">
        <v>864</v>
      </c>
      <c r="DG16" s="5" t="s">
        <v>936</v>
      </c>
      <c r="DJ16" s="60" t="s">
        <v>864</v>
      </c>
      <c r="DK16" s="5" t="s">
        <v>936</v>
      </c>
      <c r="DN16" s="50"/>
      <c r="DO16" s="170">
        <v>326</v>
      </c>
      <c r="DP16" s="170">
        <v>-9.5</v>
      </c>
    </row>
    <row r="17" spans="1:121" x14ac:dyDescent="0.2">
      <c r="A17" s="227"/>
      <c r="B17" s="8"/>
      <c r="C17" s="8"/>
      <c r="D17" s="27"/>
      <c r="E17" s="39"/>
      <c r="F17" s="187"/>
      <c r="G17" s="5"/>
      <c r="H17" s="5"/>
      <c r="J17" s="187"/>
      <c r="K17" s="5"/>
      <c r="L17" s="5"/>
      <c r="N17" s="187"/>
      <c r="O17" s="5"/>
      <c r="P17" s="5"/>
      <c r="DN17" s="50"/>
      <c r="DO17" s="170">
        <v>426</v>
      </c>
      <c r="DP17" s="170">
        <v>-1.38</v>
      </c>
    </row>
    <row r="18" spans="1:121" x14ac:dyDescent="0.2">
      <c r="A18" s="227"/>
      <c r="B18" s="8"/>
      <c r="C18" s="8"/>
      <c r="D18" s="27"/>
      <c r="E18" s="39"/>
      <c r="F18" s="187"/>
      <c r="G18" s="5"/>
      <c r="H18" s="5"/>
      <c r="J18" s="187"/>
      <c r="K18" s="5"/>
      <c r="L18" s="5"/>
      <c r="N18" s="187"/>
      <c r="O18" s="5"/>
      <c r="P18" s="5"/>
      <c r="DN18" s="50"/>
      <c r="DO18" s="171">
        <v>643</v>
      </c>
      <c r="DP18" s="171">
        <v>-2.2400000000000002</v>
      </c>
    </row>
    <row r="19" spans="1:121" x14ac:dyDescent="0.2">
      <c r="A19" s="227"/>
      <c r="B19" s="18" t="s">
        <v>421</v>
      </c>
      <c r="C19" s="18" t="s">
        <v>886</v>
      </c>
      <c r="E19" s="39"/>
      <c r="F19" s="187"/>
      <c r="G19" s="18" t="s">
        <v>891</v>
      </c>
      <c r="H19" s="18" t="s">
        <v>623</v>
      </c>
      <c r="J19" s="187"/>
      <c r="K19" s="25" t="s">
        <v>897</v>
      </c>
      <c r="L19" s="25" t="s">
        <v>644</v>
      </c>
      <c r="N19" s="187"/>
      <c r="O19" s="18" t="s">
        <v>897</v>
      </c>
      <c r="P19" s="18" t="s">
        <v>602</v>
      </c>
      <c r="DN19" s="60" t="s">
        <v>864</v>
      </c>
      <c r="DO19" s="5" t="s">
        <v>925</v>
      </c>
    </row>
    <row r="20" spans="1:121" x14ac:dyDescent="0.2">
      <c r="A20" s="227"/>
      <c r="B20" s="8"/>
      <c r="C20" s="8"/>
      <c r="E20" s="39"/>
      <c r="F20" s="187"/>
      <c r="G20" s="5"/>
      <c r="H20" s="5"/>
      <c r="J20" s="187"/>
      <c r="K20" s="5"/>
      <c r="L20" s="5"/>
      <c r="N20" s="187"/>
      <c r="O20" s="5"/>
      <c r="P20" s="5"/>
    </row>
    <row r="21" spans="1:121" x14ac:dyDescent="0.2">
      <c r="A21" s="227"/>
      <c r="B21" s="8"/>
      <c r="C21" s="8"/>
      <c r="F21" s="187"/>
      <c r="G21" s="5"/>
      <c r="H21" s="5"/>
      <c r="J21" s="187"/>
      <c r="K21" s="5"/>
      <c r="L21" s="5"/>
      <c r="N21" s="187"/>
      <c r="O21" s="5"/>
      <c r="P21" s="5"/>
    </row>
    <row r="22" spans="1:121" x14ac:dyDescent="0.2">
      <c r="A22" s="227"/>
      <c r="B22" s="164" t="s">
        <v>125</v>
      </c>
      <c r="C22" s="164" t="s">
        <v>520</v>
      </c>
      <c r="F22" s="187"/>
      <c r="G22" s="25" t="s">
        <v>892</v>
      </c>
      <c r="H22" s="25" t="s">
        <v>893</v>
      </c>
      <c r="J22" s="187"/>
      <c r="K22" s="25" t="s">
        <v>898</v>
      </c>
      <c r="L22" s="25" t="s">
        <v>899</v>
      </c>
      <c r="N22" s="187"/>
      <c r="O22" s="25" t="s">
        <v>898</v>
      </c>
      <c r="P22" s="25" t="s">
        <v>846</v>
      </c>
    </row>
    <row r="23" spans="1:121" x14ac:dyDescent="0.2">
      <c r="A23" s="227"/>
      <c r="B23" s="8"/>
      <c r="C23" s="8"/>
      <c r="F23" s="187"/>
      <c r="G23" s="5"/>
      <c r="H23" s="5"/>
      <c r="J23" s="187"/>
      <c r="K23" s="5"/>
      <c r="L23" s="5"/>
      <c r="N23" s="187"/>
      <c r="O23" s="5"/>
      <c r="P23" s="5"/>
    </row>
    <row r="24" spans="1:121" x14ac:dyDescent="0.2">
      <c r="A24" s="227"/>
      <c r="B24" s="8"/>
      <c r="C24" s="8"/>
      <c r="F24" s="187"/>
      <c r="G24" s="5"/>
      <c r="H24" s="5"/>
      <c r="J24" s="187"/>
      <c r="K24" s="5"/>
      <c r="L24" s="5"/>
      <c r="N24" s="187"/>
      <c r="O24" s="5"/>
      <c r="P24" s="5"/>
    </row>
    <row r="25" spans="1:121" x14ac:dyDescent="0.2">
      <c r="A25" s="227"/>
      <c r="B25" s="18" t="s">
        <v>485</v>
      </c>
      <c r="C25" s="18" t="s">
        <v>887</v>
      </c>
      <c r="F25" s="60" t="s">
        <v>864</v>
      </c>
      <c r="G25" s="5" t="s">
        <v>914</v>
      </c>
      <c r="J25" s="60" t="s">
        <v>864</v>
      </c>
      <c r="K25" s="5" t="s">
        <v>927</v>
      </c>
      <c r="N25" s="60" t="s">
        <v>864</v>
      </c>
      <c r="O25" s="5" t="s">
        <v>915</v>
      </c>
    </row>
    <row r="26" spans="1:121" x14ac:dyDescent="0.2">
      <c r="A26" s="227"/>
      <c r="B26" s="8"/>
      <c r="C26" s="8"/>
    </row>
    <row r="27" spans="1:121" x14ac:dyDescent="0.2">
      <c r="A27" s="228"/>
      <c r="B27" s="8"/>
      <c r="C27" s="8"/>
    </row>
    <row r="28" spans="1:121" x14ac:dyDescent="0.2">
      <c r="A28" s="60" t="s">
        <v>864</v>
      </c>
      <c r="B28" s="5" t="s">
        <v>158</v>
      </c>
    </row>
    <row r="30" spans="1:121" x14ac:dyDescent="0.2">
      <c r="F30" s="15" t="s">
        <v>117</v>
      </c>
      <c r="G30" s="15" t="s">
        <v>884</v>
      </c>
      <c r="H30" s="214" t="s">
        <v>950</v>
      </c>
      <c r="I30" s="215"/>
      <c r="N30" s="15" t="s">
        <v>117</v>
      </c>
      <c r="O30" s="15" t="s">
        <v>884</v>
      </c>
      <c r="P30" s="214" t="s">
        <v>956</v>
      </c>
      <c r="Q30" s="215"/>
      <c r="R30" s="164" t="s">
        <v>117</v>
      </c>
      <c r="S30" s="164" t="s">
        <v>884</v>
      </c>
      <c r="V30" s="164" t="s">
        <v>117</v>
      </c>
      <c r="W30" s="164" t="s">
        <v>884</v>
      </c>
      <c r="AH30" s="15" t="s">
        <v>117</v>
      </c>
      <c r="AI30" s="15" t="s">
        <v>884</v>
      </c>
      <c r="AL30" s="15" t="s">
        <v>117</v>
      </c>
      <c r="AM30" s="15" t="s">
        <v>884</v>
      </c>
      <c r="AP30" s="164" t="s">
        <v>117</v>
      </c>
      <c r="AQ30" s="164" t="s">
        <v>884</v>
      </c>
      <c r="AT30" s="164" t="s">
        <v>117</v>
      </c>
      <c r="AU30" s="164" t="s">
        <v>884</v>
      </c>
      <c r="BF30" s="164" t="s">
        <v>117</v>
      </c>
      <c r="BG30" s="164" t="s">
        <v>884</v>
      </c>
      <c r="BN30" s="164" t="s">
        <v>117</v>
      </c>
      <c r="BO30" s="164" t="s">
        <v>884</v>
      </c>
      <c r="BV30" s="15" t="s">
        <v>117</v>
      </c>
      <c r="BW30" s="15" t="s">
        <v>884</v>
      </c>
      <c r="BZ30" s="164" t="s">
        <v>117</v>
      </c>
      <c r="CA30" s="164" t="s">
        <v>884</v>
      </c>
      <c r="CD30" s="164" t="s">
        <v>117</v>
      </c>
      <c r="CE30" s="164" t="s">
        <v>884</v>
      </c>
      <c r="CL30" s="164" t="s">
        <v>117</v>
      </c>
      <c r="CM30" s="164" t="s">
        <v>884</v>
      </c>
      <c r="CT30" s="164" t="s">
        <v>117</v>
      </c>
      <c r="CU30" s="164" t="s">
        <v>884</v>
      </c>
      <c r="CX30" s="164" t="s">
        <v>117</v>
      </c>
      <c r="CY30" s="164" t="s">
        <v>884</v>
      </c>
      <c r="DN30" s="170" t="s">
        <v>117</v>
      </c>
      <c r="DO30" s="164" t="s">
        <v>884</v>
      </c>
    </row>
    <row r="31" spans="1:121" x14ac:dyDescent="0.2">
      <c r="F31" s="15" t="s">
        <v>889</v>
      </c>
      <c r="G31" s="15" t="s">
        <v>434</v>
      </c>
      <c r="H31" s="51"/>
      <c r="I31" s="51"/>
      <c r="N31" s="15">
        <v>625</v>
      </c>
      <c r="O31" s="15">
        <v>-2.2799999999999998</v>
      </c>
      <c r="R31" s="164" t="s">
        <v>902</v>
      </c>
      <c r="S31" s="164" t="s">
        <v>434</v>
      </c>
      <c r="V31" s="164" t="s">
        <v>904</v>
      </c>
      <c r="W31" s="164">
        <v>-1.54</v>
      </c>
      <c r="AH31" s="15">
        <v>465</v>
      </c>
      <c r="AI31" s="15">
        <v>-2.27</v>
      </c>
      <c r="AL31" s="15" t="s">
        <v>911</v>
      </c>
      <c r="AM31" s="15">
        <v>-1.62</v>
      </c>
      <c r="AP31" s="164">
        <v>356</v>
      </c>
      <c r="AQ31" s="164">
        <v>-4.1100000000000003</v>
      </c>
      <c r="AT31" s="164">
        <v>365</v>
      </c>
      <c r="AU31" s="164">
        <v>-2.2200000000000002</v>
      </c>
      <c r="BF31" s="164" t="s">
        <v>907</v>
      </c>
      <c r="BG31" s="164">
        <v>-1.98</v>
      </c>
      <c r="BN31" s="164">
        <v>650</v>
      </c>
      <c r="BO31" s="164">
        <v>-4.1100000000000003</v>
      </c>
      <c r="BV31" s="15">
        <v>645</v>
      </c>
      <c r="BW31" s="15">
        <v>-2.2200000000000002</v>
      </c>
      <c r="BZ31" s="164" t="s">
        <v>933</v>
      </c>
      <c r="CA31" s="164">
        <v>-1.98</v>
      </c>
      <c r="CD31" s="164">
        <v>456</v>
      </c>
      <c r="CE31" s="164">
        <v>-1.28</v>
      </c>
      <c r="CL31" s="164" t="s">
        <v>938</v>
      </c>
      <c r="CM31" s="164">
        <v>-1.7</v>
      </c>
      <c r="CT31" s="164">
        <v>650</v>
      </c>
      <c r="CU31" s="164">
        <v>-1.28</v>
      </c>
      <c r="CX31" s="164" t="s">
        <v>930</v>
      </c>
      <c r="CY31" s="164">
        <v>-1.7</v>
      </c>
      <c r="DN31" s="164" t="s">
        <v>160</v>
      </c>
      <c r="DO31" s="164" t="s">
        <v>885</v>
      </c>
    </row>
    <row r="32" spans="1:121" x14ac:dyDescent="0.2">
      <c r="F32" s="15" t="s">
        <v>160</v>
      </c>
      <c r="G32" s="15" t="s">
        <v>885</v>
      </c>
      <c r="H32" s="51"/>
      <c r="I32" s="51"/>
      <c r="N32" s="15" t="s">
        <v>160</v>
      </c>
      <c r="O32" s="15" t="s">
        <v>885</v>
      </c>
      <c r="R32" s="164" t="s">
        <v>160</v>
      </c>
      <c r="S32" s="164" t="s">
        <v>885</v>
      </c>
      <c r="V32" s="164" t="s">
        <v>160</v>
      </c>
      <c r="W32" s="164" t="s">
        <v>885</v>
      </c>
      <c r="AH32" s="15" t="s">
        <v>160</v>
      </c>
      <c r="AI32" s="15" t="s">
        <v>885</v>
      </c>
      <c r="AL32" s="15" t="s">
        <v>160</v>
      </c>
      <c r="AM32" s="15" t="s">
        <v>885</v>
      </c>
      <c r="AP32" s="164" t="s">
        <v>160</v>
      </c>
      <c r="AQ32" s="164" t="s">
        <v>885</v>
      </c>
      <c r="AT32" s="164" t="s">
        <v>160</v>
      </c>
      <c r="AU32" s="164" t="s">
        <v>885</v>
      </c>
      <c r="BF32" s="164" t="s">
        <v>160</v>
      </c>
      <c r="BG32" s="164" t="s">
        <v>885</v>
      </c>
      <c r="BN32" s="164" t="s">
        <v>160</v>
      </c>
      <c r="BO32" s="164" t="s">
        <v>885</v>
      </c>
      <c r="BV32" s="15" t="s">
        <v>160</v>
      </c>
      <c r="BW32" s="15" t="s">
        <v>885</v>
      </c>
      <c r="BZ32" s="164" t="s">
        <v>160</v>
      </c>
      <c r="CA32" s="164" t="s">
        <v>885</v>
      </c>
      <c r="CD32" s="164" t="s">
        <v>160</v>
      </c>
      <c r="CE32" s="164" t="s">
        <v>885</v>
      </c>
      <c r="CL32" s="164" t="s">
        <v>160</v>
      </c>
      <c r="CM32" s="164" t="s">
        <v>885</v>
      </c>
      <c r="CT32" s="164" t="s">
        <v>160</v>
      </c>
      <c r="CU32" s="164" t="s">
        <v>885</v>
      </c>
      <c r="CX32" s="164" t="s">
        <v>160</v>
      </c>
      <c r="CY32" s="164" t="s">
        <v>885</v>
      </c>
      <c r="DN32" s="164" t="s">
        <v>421</v>
      </c>
      <c r="DO32" s="164" t="s">
        <v>886</v>
      </c>
      <c r="DP32" s="214" t="s">
        <v>968</v>
      </c>
      <c r="DQ32" s="215"/>
    </row>
    <row r="33" spans="6:119" x14ac:dyDescent="0.2">
      <c r="F33" s="15" t="s">
        <v>421</v>
      </c>
      <c r="G33" s="15" t="s">
        <v>886</v>
      </c>
      <c r="H33" s="51"/>
      <c r="I33" s="51"/>
      <c r="N33" s="15" t="s">
        <v>421</v>
      </c>
      <c r="O33" s="15" t="s">
        <v>886</v>
      </c>
      <c r="R33" s="164">
        <v>320</v>
      </c>
      <c r="S33" s="164" t="s">
        <v>886</v>
      </c>
      <c r="V33" s="164">
        <v>320</v>
      </c>
      <c r="W33" s="164" t="s">
        <v>886</v>
      </c>
      <c r="AH33" s="15">
        <v>320</v>
      </c>
      <c r="AI33" s="15" t="s">
        <v>886</v>
      </c>
      <c r="AL33" s="15">
        <v>320</v>
      </c>
      <c r="AM33" s="15" t="s">
        <v>886</v>
      </c>
      <c r="AP33" s="164">
        <v>320</v>
      </c>
      <c r="AQ33" s="164" t="s">
        <v>886</v>
      </c>
      <c r="AT33" s="164">
        <v>320</v>
      </c>
      <c r="AU33" s="164" t="s">
        <v>886</v>
      </c>
      <c r="BF33" s="164">
        <v>320</v>
      </c>
      <c r="BG33" s="164" t="s">
        <v>886</v>
      </c>
      <c r="BN33" s="164">
        <v>320</v>
      </c>
      <c r="BO33" s="164" t="s">
        <v>886</v>
      </c>
      <c r="BV33" s="15">
        <v>320</v>
      </c>
      <c r="BW33" s="15" t="s">
        <v>886</v>
      </c>
      <c r="BZ33" s="164">
        <v>320</v>
      </c>
      <c r="CA33" s="164" t="s">
        <v>886</v>
      </c>
      <c r="CD33" s="164">
        <v>320</v>
      </c>
      <c r="CE33" s="164" t="s">
        <v>886</v>
      </c>
      <c r="CL33" s="164">
        <v>320</v>
      </c>
      <c r="CM33" s="164" t="s">
        <v>886</v>
      </c>
      <c r="CT33" s="164">
        <v>320</v>
      </c>
      <c r="CU33" s="164" t="s">
        <v>886</v>
      </c>
      <c r="CX33" s="164">
        <v>320</v>
      </c>
      <c r="CY33" s="164" t="s">
        <v>886</v>
      </c>
      <c r="DN33" s="164" t="s">
        <v>485</v>
      </c>
      <c r="DO33" s="164" t="s">
        <v>887</v>
      </c>
    </row>
    <row r="34" spans="6:119" x14ac:dyDescent="0.2">
      <c r="F34" s="10" t="s">
        <v>864</v>
      </c>
      <c r="G34" s="15" t="s">
        <v>158</v>
      </c>
      <c r="H34" s="51"/>
      <c r="I34" s="51"/>
      <c r="N34" s="10" t="s">
        <v>864</v>
      </c>
      <c r="O34" s="15" t="s">
        <v>158</v>
      </c>
      <c r="R34" s="165" t="s">
        <v>864</v>
      </c>
      <c r="S34" s="164" t="s">
        <v>158</v>
      </c>
      <c r="V34" s="165" t="s">
        <v>864</v>
      </c>
      <c r="W34" s="164" t="s">
        <v>158</v>
      </c>
      <c r="AH34" s="10" t="s">
        <v>864</v>
      </c>
      <c r="AI34" s="15" t="s">
        <v>158</v>
      </c>
      <c r="AL34" s="10" t="s">
        <v>864</v>
      </c>
      <c r="AM34" s="15" t="s">
        <v>158</v>
      </c>
      <c r="AP34" s="165" t="s">
        <v>864</v>
      </c>
      <c r="AQ34" s="164" t="s">
        <v>158</v>
      </c>
      <c r="AT34" s="165" t="s">
        <v>864</v>
      </c>
      <c r="AU34" s="164" t="s">
        <v>158</v>
      </c>
      <c r="BF34" s="165" t="s">
        <v>864</v>
      </c>
      <c r="BG34" s="164" t="s">
        <v>158</v>
      </c>
      <c r="BN34" s="165" t="s">
        <v>864</v>
      </c>
      <c r="BO34" s="164" t="s">
        <v>158</v>
      </c>
      <c r="BV34" s="10" t="s">
        <v>864</v>
      </c>
      <c r="BW34" s="15" t="s">
        <v>158</v>
      </c>
      <c r="BZ34" s="165" t="s">
        <v>864</v>
      </c>
      <c r="CA34" s="164" t="s">
        <v>158</v>
      </c>
      <c r="CD34" s="165" t="s">
        <v>864</v>
      </c>
      <c r="CE34" s="164" t="s">
        <v>158</v>
      </c>
      <c r="CL34" s="165" t="s">
        <v>864</v>
      </c>
      <c r="CM34" s="164" t="s">
        <v>158</v>
      </c>
      <c r="CT34" s="165" t="s">
        <v>864</v>
      </c>
      <c r="CU34" s="164" t="s">
        <v>158</v>
      </c>
      <c r="CX34" s="165" t="s">
        <v>864</v>
      </c>
      <c r="CY34" s="164" t="s">
        <v>158</v>
      </c>
      <c r="DN34" s="165" t="s">
        <v>864</v>
      </c>
      <c r="DO34" s="164" t="s">
        <v>158</v>
      </c>
    </row>
    <row r="35" spans="6:119" x14ac:dyDescent="0.2">
      <c r="F35" s="10" t="s">
        <v>864</v>
      </c>
      <c r="G35" s="15" t="s">
        <v>914</v>
      </c>
      <c r="H35" s="51"/>
      <c r="I35" s="51"/>
      <c r="N35" s="10" t="s">
        <v>864</v>
      </c>
      <c r="O35" s="15" t="s">
        <v>915</v>
      </c>
      <c r="R35" s="165" t="s">
        <v>864</v>
      </c>
      <c r="S35" s="164" t="s">
        <v>901</v>
      </c>
      <c r="V35" s="165" t="s">
        <v>864</v>
      </c>
      <c r="W35" s="164" t="s">
        <v>901</v>
      </c>
      <c r="AH35" s="10" t="s">
        <v>864</v>
      </c>
      <c r="AI35" s="15" t="s">
        <v>901</v>
      </c>
      <c r="AL35" s="10" t="s">
        <v>864</v>
      </c>
      <c r="AM35" s="15" t="s">
        <v>901</v>
      </c>
      <c r="AP35" s="165" t="s">
        <v>864</v>
      </c>
      <c r="AQ35" s="164" t="s">
        <v>914</v>
      </c>
      <c r="AT35" s="165" t="s">
        <v>864</v>
      </c>
      <c r="AU35" s="164" t="s">
        <v>915</v>
      </c>
      <c r="BF35" s="165" t="s">
        <v>864</v>
      </c>
      <c r="BG35" s="164" t="s">
        <v>915</v>
      </c>
      <c r="BN35" s="165" t="s">
        <v>864</v>
      </c>
      <c r="BO35" s="164" t="s">
        <v>927</v>
      </c>
      <c r="BV35" s="10" t="s">
        <v>864</v>
      </c>
      <c r="BW35" s="15" t="s">
        <v>927</v>
      </c>
      <c r="BZ35" s="165" t="s">
        <v>864</v>
      </c>
      <c r="CA35" s="164" t="s">
        <v>927</v>
      </c>
      <c r="CD35" s="165" t="s">
        <v>864</v>
      </c>
      <c r="CE35" s="164" t="s">
        <v>914</v>
      </c>
      <c r="CL35" s="165" t="s">
        <v>864</v>
      </c>
      <c r="CM35" s="164" t="s">
        <v>914</v>
      </c>
      <c r="CT35" s="165" t="s">
        <v>864</v>
      </c>
      <c r="CU35" s="164" t="s">
        <v>915</v>
      </c>
      <c r="CX35" s="165" t="s">
        <v>864</v>
      </c>
      <c r="CY35" s="164" t="s">
        <v>915</v>
      </c>
      <c r="DN35" s="165" t="s">
        <v>864</v>
      </c>
      <c r="DO35" s="164" t="s">
        <v>925</v>
      </c>
    </row>
    <row r="36" spans="6:119" x14ac:dyDescent="0.2">
      <c r="H36" s="51"/>
      <c r="I36" s="51"/>
    </row>
    <row r="37" spans="6:119" x14ac:dyDescent="0.2">
      <c r="F37" s="15" t="s">
        <v>117</v>
      </c>
      <c r="G37" s="15" t="s">
        <v>884</v>
      </c>
      <c r="H37" s="214" t="s">
        <v>951</v>
      </c>
      <c r="I37" s="215"/>
      <c r="N37" s="15" t="s">
        <v>117</v>
      </c>
      <c r="O37" s="15" t="s">
        <v>884</v>
      </c>
      <c r="R37" s="164" t="s">
        <v>117</v>
      </c>
      <c r="S37" s="164" t="s">
        <v>884</v>
      </c>
      <c r="V37" s="25" t="s">
        <v>117</v>
      </c>
      <c r="W37" s="25" t="s">
        <v>884</v>
      </c>
      <c r="AH37" s="15" t="s">
        <v>117</v>
      </c>
      <c r="AI37" s="15" t="s">
        <v>884</v>
      </c>
      <c r="AL37" s="15" t="s">
        <v>117</v>
      </c>
      <c r="AM37" s="15" t="s">
        <v>884</v>
      </c>
      <c r="AP37" s="164" t="s">
        <v>117</v>
      </c>
      <c r="AQ37" s="164" t="s">
        <v>884</v>
      </c>
      <c r="AT37" s="164" t="s">
        <v>117</v>
      </c>
      <c r="AU37" s="164" t="s">
        <v>884</v>
      </c>
      <c r="BF37" s="164" t="s">
        <v>117</v>
      </c>
      <c r="BG37" s="164" t="s">
        <v>884</v>
      </c>
      <c r="BN37" s="164" t="s">
        <v>117</v>
      </c>
      <c r="BO37" s="164" t="s">
        <v>884</v>
      </c>
      <c r="BV37" s="25" t="s">
        <v>117</v>
      </c>
      <c r="BW37" s="25" t="s">
        <v>884</v>
      </c>
      <c r="BZ37" s="164" t="s">
        <v>117</v>
      </c>
      <c r="CA37" s="164" t="s">
        <v>884</v>
      </c>
      <c r="CD37" s="25" t="s">
        <v>117</v>
      </c>
      <c r="CE37" s="25" t="s">
        <v>884</v>
      </c>
      <c r="CL37" s="25" t="s">
        <v>117</v>
      </c>
      <c r="CM37" s="25" t="s">
        <v>884</v>
      </c>
      <c r="CT37" s="164" t="s">
        <v>117</v>
      </c>
      <c r="CU37" s="164" t="s">
        <v>884</v>
      </c>
      <c r="CX37" s="164" t="s">
        <v>117</v>
      </c>
      <c r="CY37" s="164" t="s">
        <v>884</v>
      </c>
      <c r="DN37" s="170" t="s">
        <v>117</v>
      </c>
      <c r="DO37" s="164" t="s">
        <v>884</v>
      </c>
    </row>
    <row r="38" spans="6:119" x14ac:dyDescent="0.2">
      <c r="F38" s="15" t="s">
        <v>889</v>
      </c>
      <c r="G38" s="15" t="s">
        <v>434</v>
      </c>
      <c r="H38" s="51"/>
      <c r="I38" s="51"/>
      <c r="N38" s="15">
        <v>625</v>
      </c>
      <c r="O38" s="15">
        <v>-2.2799999999999998</v>
      </c>
      <c r="R38" s="164" t="s">
        <v>902</v>
      </c>
      <c r="S38" s="164" t="s">
        <v>434</v>
      </c>
      <c r="V38" s="25" t="s">
        <v>904</v>
      </c>
      <c r="W38" s="25">
        <v>-1.54</v>
      </c>
      <c r="AH38" s="15">
        <v>465</v>
      </c>
      <c r="AI38" s="15">
        <v>-2.27</v>
      </c>
      <c r="AL38" s="15" t="s">
        <v>911</v>
      </c>
      <c r="AM38" s="15">
        <v>-1.62</v>
      </c>
      <c r="AP38" s="164">
        <v>356</v>
      </c>
      <c r="AQ38" s="164">
        <v>-4.1100000000000003</v>
      </c>
      <c r="AT38" s="164">
        <v>365</v>
      </c>
      <c r="AU38" s="164">
        <v>-2.2200000000000002</v>
      </c>
      <c r="BF38" s="164" t="s">
        <v>907</v>
      </c>
      <c r="BG38" s="164">
        <v>-1.98</v>
      </c>
      <c r="BN38" s="164">
        <v>650</v>
      </c>
      <c r="BO38" s="164">
        <v>-4.1100000000000003</v>
      </c>
      <c r="BV38" s="25">
        <v>645</v>
      </c>
      <c r="BW38" s="25">
        <v>-2.2200000000000002</v>
      </c>
      <c r="BZ38" s="164" t="s">
        <v>933</v>
      </c>
      <c r="CA38" s="164">
        <v>-1.98</v>
      </c>
      <c r="CD38" s="25">
        <v>456</v>
      </c>
      <c r="CE38" s="25">
        <v>-1.28</v>
      </c>
      <c r="CL38" s="25" t="s">
        <v>938</v>
      </c>
      <c r="CM38" s="25">
        <v>-1.7</v>
      </c>
      <c r="CT38" s="164">
        <v>650</v>
      </c>
      <c r="CU38" s="164">
        <v>-1.28</v>
      </c>
      <c r="CX38" s="164" t="s">
        <v>930</v>
      </c>
      <c r="CY38" s="164">
        <v>-1.7</v>
      </c>
      <c r="DN38" s="164" t="s">
        <v>160</v>
      </c>
      <c r="DO38" s="164" t="s">
        <v>885</v>
      </c>
    </row>
    <row r="39" spans="6:119" x14ac:dyDescent="0.2">
      <c r="F39" s="15" t="s">
        <v>160</v>
      </c>
      <c r="G39" s="15" t="s">
        <v>885</v>
      </c>
      <c r="N39" s="15" t="s">
        <v>160</v>
      </c>
      <c r="O39" s="15" t="s">
        <v>885</v>
      </c>
      <c r="R39" s="164" t="s">
        <v>160</v>
      </c>
      <c r="S39" s="164" t="s">
        <v>885</v>
      </c>
      <c r="V39" s="25">
        <v>24</v>
      </c>
      <c r="W39" s="25" t="s">
        <v>885</v>
      </c>
      <c r="AH39" s="15" t="s">
        <v>160</v>
      </c>
      <c r="AI39" s="15" t="s">
        <v>885</v>
      </c>
      <c r="AL39" s="15" t="s">
        <v>160</v>
      </c>
      <c r="AM39" s="15" t="s">
        <v>885</v>
      </c>
      <c r="AP39" s="164" t="s">
        <v>160</v>
      </c>
      <c r="AQ39" s="164" t="s">
        <v>885</v>
      </c>
      <c r="AT39" s="164" t="s">
        <v>160</v>
      </c>
      <c r="AU39" s="164" t="s">
        <v>885</v>
      </c>
      <c r="BF39" s="164" t="s">
        <v>160</v>
      </c>
      <c r="BG39" s="164" t="s">
        <v>885</v>
      </c>
      <c r="BN39" s="164" t="s">
        <v>160</v>
      </c>
      <c r="BO39" s="164" t="s">
        <v>885</v>
      </c>
      <c r="BV39" s="25">
        <v>24</v>
      </c>
      <c r="BW39" s="25" t="s">
        <v>885</v>
      </c>
      <c r="BZ39" s="164" t="s">
        <v>160</v>
      </c>
      <c r="CA39" s="164" t="s">
        <v>885</v>
      </c>
      <c r="CD39" s="25" t="s">
        <v>160</v>
      </c>
      <c r="CE39" s="25" t="s">
        <v>885</v>
      </c>
      <c r="CL39" s="25">
        <v>24</v>
      </c>
      <c r="CM39" s="25" t="s">
        <v>885</v>
      </c>
      <c r="CT39" s="164" t="s">
        <v>160</v>
      </c>
      <c r="CU39" s="164" t="s">
        <v>885</v>
      </c>
      <c r="CX39" s="164" t="s">
        <v>160</v>
      </c>
      <c r="CY39" s="164" t="s">
        <v>885</v>
      </c>
      <c r="DN39" s="164" t="s">
        <v>421</v>
      </c>
      <c r="DO39" s="164" t="s">
        <v>886</v>
      </c>
    </row>
    <row r="40" spans="6:119" x14ac:dyDescent="0.2">
      <c r="F40" s="15" t="s">
        <v>125</v>
      </c>
      <c r="G40" s="15" t="s">
        <v>520</v>
      </c>
      <c r="H40" s="51"/>
      <c r="I40" s="51"/>
      <c r="N40" s="164" t="s">
        <v>125</v>
      </c>
      <c r="O40" s="164" t="s">
        <v>520</v>
      </c>
      <c r="R40" s="164">
        <v>340</v>
      </c>
      <c r="S40" s="164" t="s">
        <v>520</v>
      </c>
      <c r="V40" s="25">
        <v>340</v>
      </c>
      <c r="W40" s="25" t="s">
        <v>520</v>
      </c>
      <c r="AH40" s="164">
        <v>340</v>
      </c>
      <c r="AI40" s="164" t="s">
        <v>520</v>
      </c>
      <c r="AL40" s="169">
        <v>340</v>
      </c>
      <c r="AM40" s="169" t="s">
        <v>520</v>
      </c>
      <c r="AP40" s="164">
        <v>340</v>
      </c>
      <c r="AQ40" s="164" t="s">
        <v>520</v>
      </c>
      <c r="AT40" s="164">
        <v>340</v>
      </c>
      <c r="AU40" s="164" t="s">
        <v>520</v>
      </c>
      <c r="BF40" s="164">
        <v>340</v>
      </c>
      <c r="BG40" s="164" t="s">
        <v>520</v>
      </c>
      <c r="BN40" s="164">
        <v>340</v>
      </c>
      <c r="BO40" s="164" t="s">
        <v>520</v>
      </c>
      <c r="BV40" s="25">
        <v>340</v>
      </c>
      <c r="BW40" s="25" t="s">
        <v>520</v>
      </c>
      <c r="BZ40" s="164">
        <v>340</v>
      </c>
      <c r="CA40" s="164" t="s">
        <v>520</v>
      </c>
      <c r="CD40" s="25">
        <v>340</v>
      </c>
      <c r="CE40" s="25" t="s">
        <v>520</v>
      </c>
      <c r="CL40" s="25">
        <v>340</v>
      </c>
      <c r="CM40" s="25" t="s">
        <v>520</v>
      </c>
      <c r="CT40" s="164">
        <v>340</v>
      </c>
      <c r="CU40" s="164" t="s">
        <v>520</v>
      </c>
      <c r="CX40" s="164">
        <v>340</v>
      </c>
      <c r="CY40" s="166" t="s">
        <v>520</v>
      </c>
      <c r="DN40" s="164" t="s">
        <v>961</v>
      </c>
      <c r="DO40" s="164" t="s">
        <v>962</v>
      </c>
    </row>
    <row r="41" spans="6:119" x14ac:dyDescent="0.2">
      <c r="F41" s="10" t="s">
        <v>864</v>
      </c>
      <c r="G41" s="15" t="s">
        <v>158</v>
      </c>
      <c r="H41" s="51"/>
      <c r="I41" s="51"/>
      <c r="N41" s="10" t="s">
        <v>864</v>
      </c>
      <c r="O41" s="15" t="s">
        <v>158</v>
      </c>
      <c r="R41" s="165" t="s">
        <v>864</v>
      </c>
      <c r="S41" s="164" t="s">
        <v>158</v>
      </c>
      <c r="V41" s="87" t="s">
        <v>864</v>
      </c>
      <c r="W41" s="25" t="s">
        <v>158</v>
      </c>
      <c r="AH41" s="10" t="s">
        <v>864</v>
      </c>
      <c r="AI41" s="15" t="s">
        <v>158</v>
      </c>
      <c r="AL41" s="10" t="s">
        <v>864</v>
      </c>
      <c r="AM41" s="15" t="s">
        <v>158</v>
      </c>
      <c r="AP41" s="165" t="s">
        <v>864</v>
      </c>
      <c r="AQ41" s="164" t="s">
        <v>158</v>
      </c>
      <c r="AT41" s="165" t="s">
        <v>864</v>
      </c>
      <c r="AU41" s="164" t="s">
        <v>158</v>
      </c>
      <c r="BF41" s="165" t="s">
        <v>864</v>
      </c>
      <c r="BG41" s="164" t="s">
        <v>158</v>
      </c>
      <c r="BN41" s="165" t="s">
        <v>864</v>
      </c>
      <c r="BO41" s="164" t="s">
        <v>158</v>
      </c>
      <c r="BV41" s="87" t="s">
        <v>864</v>
      </c>
      <c r="BW41" s="25" t="s">
        <v>158</v>
      </c>
      <c r="BZ41" s="165" t="s">
        <v>864</v>
      </c>
      <c r="CA41" s="164" t="s">
        <v>158</v>
      </c>
      <c r="CD41" s="87" t="s">
        <v>864</v>
      </c>
      <c r="CE41" s="25" t="s">
        <v>158</v>
      </c>
      <c r="CL41" s="87" t="s">
        <v>864</v>
      </c>
      <c r="CM41" s="25" t="s">
        <v>158</v>
      </c>
      <c r="CT41" s="165" t="s">
        <v>864</v>
      </c>
      <c r="CU41" s="164" t="s">
        <v>158</v>
      </c>
      <c r="CX41" s="165" t="s">
        <v>864</v>
      </c>
      <c r="CY41" s="164" t="s">
        <v>158</v>
      </c>
      <c r="DN41" s="165" t="s">
        <v>864</v>
      </c>
      <c r="DO41" s="164" t="s">
        <v>158</v>
      </c>
    </row>
    <row r="42" spans="6:119" x14ac:dyDescent="0.2">
      <c r="F42" s="10" t="s">
        <v>864</v>
      </c>
      <c r="G42" s="15" t="s">
        <v>914</v>
      </c>
      <c r="H42" s="51"/>
      <c r="I42" s="51"/>
      <c r="N42" s="10" t="s">
        <v>864</v>
      </c>
      <c r="O42" s="15" t="s">
        <v>915</v>
      </c>
      <c r="R42" s="165" t="s">
        <v>864</v>
      </c>
      <c r="S42" s="164" t="s">
        <v>901</v>
      </c>
      <c r="V42" s="87" t="s">
        <v>864</v>
      </c>
      <c r="W42" s="25" t="s">
        <v>901</v>
      </c>
      <c r="AH42" s="10" t="s">
        <v>864</v>
      </c>
      <c r="AI42" s="15" t="s">
        <v>901</v>
      </c>
      <c r="AL42" s="10" t="s">
        <v>864</v>
      </c>
      <c r="AM42" s="15" t="s">
        <v>901</v>
      </c>
      <c r="AP42" s="165" t="s">
        <v>864</v>
      </c>
      <c r="AQ42" s="164" t="s">
        <v>914</v>
      </c>
      <c r="AT42" s="165" t="s">
        <v>864</v>
      </c>
      <c r="AU42" s="164" t="s">
        <v>915</v>
      </c>
      <c r="BF42" s="165" t="s">
        <v>864</v>
      </c>
      <c r="BG42" s="164" t="s">
        <v>915</v>
      </c>
      <c r="BN42" s="165" t="s">
        <v>864</v>
      </c>
      <c r="BO42" s="164" t="s">
        <v>958</v>
      </c>
      <c r="BV42" s="87" t="s">
        <v>864</v>
      </c>
      <c r="BW42" s="25" t="s">
        <v>927</v>
      </c>
      <c r="BZ42" s="165" t="s">
        <v>864</v>
      </c>
      <c r="CA42" s="164" t="s">
        <v>927</v>
      </c>
      <c r="CD42" s="87" t="s">
        <v>864</v>
      </c>
      <c r="CE42" s="25" t="s">
        <v>914</v>
      </c>
      <c r="CL42" s="87" t="s">
        <v>864</v>
      </c>
      <c r="CM42" s="25" t="s">
        <v>914</v>
      </c>
      <c r="CT42" s="165" t="s">
        <v>864</v>
      </c>
      <c r="CU42" s="164" t="s">
        <v>915</v>
      </c>
      <c r="CX42" s="165" t="s">
        <v>864</v>
      </c>
      <c r="CY42" s="164" t="s">
        <v>915</v>
      </c>
      <c r="DN42" s="165" t="s">
        <v>864</v>
      </c>
      <c r="DO42" s="164" t="s">
        <v>925</v>
      </c>
    </row>
    <row r="43" spans="6:119" x14ac:dyDescent="0.2">
      <c r="H43" s="51"/>
      <c r="I43" s="51"/>
      <c r="R43" s="39"/>
      <c r="S43" s="39"/>
      <c r="V43" s="39"/>
      <c r="W43" s="39"/>
      <c r="AH43" s="39"/>
      <c r="AI43" s="39"/>
      <c r="AL43" s="39"/>
      <c r="AM43" s="39"/>
      <c r="AP43" s="39"/>
      <c r="AQ43" s="39"/>
      <c r="AT43" s="39"/>
      <c r="AU43" s="39"/>
      <c r="BF43" s="39"/>
      <c r="BG43" s="39"/>
      <c r="BN43" s="39"/>
      <c r="BO43" s="39"/>
      <c r="BV43" s="39"/>
      <c r="BW43" s="39"/>
      <c r="BZ43" s="39"/>
      <c r="CA43" s="39"/>
      <c r="CD43" s="39"/>
      <c r="CE43" s="39"/>
      <c r="CL43" s="39"/>
      <c r="CM43" s="39"/>
      <c r="CT43" s="39"/>
      <c r="CU43" s="39"/>
      <c r="CX43" s="39"/>
      <c r="CY43" s="39"/>
    </row>
    <row r="44" spans="6:119" x14ac:dyDescent="0.2">
      <c r="F44" s="15" t="s">
        <v>117</v>
      </c>
      <c r="G44" s="15" t="s">
        <v>884</v>
      </c>
      <c r="H44" s="214" t="s">
        <v>952</v>
      </c>
      <c r="I44" s="215"/>
      <c r="N44" s="15" t="s">
        <v>117</v>
      </c>
      <c r="O44" s="15" t="s">
        <v>884</v>
      </c>
      <c r="R44" s="164" t="s">
        <v>117</v>
      </c>
      <c r="S44" s="164" t="s">
        <v>884</v>
      </c>
      <c r="V44" s="164" t="s">
        <v>117</v>
      </c>
      <c r="W44" s="164" t="s">
        <v>884</v>
      </c>
      <c r="AH44" s="15" t="s">
        <v>117</v>
      </c>
      <c r="AI44" s="15" t="s">
        <v>884</v>
      </c>
      <c r="AL44" s="15" t="s">
        <v>117</v>
      </c>
      <c r="AM44" s="15" t="s">
        <v>884</v>
      </c>
      <c r="AP44" s="164" t="s">
        <v>117</v>
      </c>
      <c r="AQ44" s="164" t="s">
        <v>884</v>
      </c>
      <c r="AT44" s="15" t="s">
        <v>117</v>
      </c>
      <c r="AU44" s="15" t="s">
        <v>884</v>
      </c>
      <c r="BF44" s="164" t="s">
        <v>117</v>
      </c>
      <c r="BG44" s="164" t="s">
        <v>884</v>
      </c>
      <c r="BN44" s="164" t="s">
        <v>117</v>
      </c>
      <c r="BO44" s="164" t="s">
        <v>884</v>
      </c>
      <c r="BV44" s="15" t="s">
        <v>117</v>
      </c>
      <c r="BW44" s="15" t="s">
        <v>884</v>
      </c>
      <c r="BZ44" s="173" t="s">
        <v>117</v>
      </c>
      <c r="CA44" s="173" t="s">
        <v>884</v>
      </c>
      <c r="CD44" s="164" t="s">
        <v>117</v>
      </c>
      <c r="CE44" s="164" t="s">
        <v>884</v>
      </c>
      <c r="CL44" s="164" t="s">
        <v>117</v>
      </c>
      <c r="CM44" s="164" t="s">
        <v>884</v>
      </c>
      <c r="CT44" s="164" t="s">
        <v>117</v>
      </c>
      <c r="CU44" s="164" t="s">
        <v>884</v>
      </c>
      <c r="CX44" s="164" t="s">
        <v>117</v>
      </c>
      <c r="CY44" s="164" t="s">
        <v>884</v>
      </c>
      <c r="DN44" s="175" t="s">
        <v>117</v>
      </c>
      <c r="DO44" s="173" t="s">
        <v>884</v>
      </c>
    </row>
    <row r="45" spans="6:119" x14ac:dyDescent="0.2">
      <c r="F45" s="15" t="s">
        <v>889</v>
      </c>
      <c r="G45" s="15" t="s">
        <v>434</v>
      </c>
      <c r="H45" s="51"/>
      <c r="I45" s="51"/>
      <c r="N45" s="15">
        <v>625</v>
      </c>
      <c r="O45" s="15">
        <v>-2.2799999999999998</v>
      </c>
      <c r="R45" s="164" t="s">
        <v>902</v>
      </c>
      <c r="S45" s="164" t="s">
        <v>434</v>
      </c>
      <c r="V45" s="164" t="s">
        <v>904</v>
      </c>
      <c r="W45" s="164">
        <v>-1.54</v>
      </c>
      <c r="AH45" s="15">
        <v>465</v>
      </c>
      <c r="AI45" s="15">
        <v>-2.27</v>
      </c>
      <c r="AL45" s="15" t="s">
        <v>911</v>
      </c>
      <c r="AM45" s="15">
        <v>-1.62</v>
      </c>
      <c r="AP45" s="164">
        <v>356</v>
      </c>
      <c r="AQ45" s="164">
        <v>-4.1100000000000003</v>
      </c>
      <c r="AT45" s="15">
        <v>365</v>
      </c>
      <c r="AU45" s="15">
        <v>-2.2200000000000002</v>
      </c>
      <c r="BF45" s="164" t="s">
        <v>907</v>
      </c>
      <c r="BG45" s="164">
        <v>-1.98</v>
      </c>
      <c r="BN45" s="164">
        <v>650</v>
      </c>
      <c r="BO45" s="164">
        <v>-4.1100000000000003</v>
      </c>
      <c r="BV45" s="15">
        <v>645</v>
      </c>
      <c r="BW45" s="15">
        <v>-2.2200000000000002</v>
      </c>
      <c r="BZ45" s="173" t="s">
        <v>933</v>
      </c>
      <c r="CA45" s="173">
        <v>-1.98</v>
      </c>
      <c r="CD45" s="164">
        <v>456</v>
      </c>
      <c r="CE45" s="164">
        <v>-1.28</v>
      </c>
      <c r="CL45" s="164" t="s">
        <v>938</v>
      </c>
      <c r="CM45" s="164">
        <v>-1.7</v>
      </c>
      <c r="CT45" s="164">
        <v>650</v>
      </c>
      <c r="CU45" s="164">
        <v>-1.28</v>
      </c>
      <c r="CX45" s="164" t="s">
        <v>930</v>
      </c>
      <c r="CY45" s="164">
        <v>-1.7</v>
      </c>
      <c r="DN45" s="173" t="s">
        <v>160</v>
      </c>
      <c r="DO45" s="173" t="s">
        <v>885</v>
      </c>
    </row>
    <row r="46" spans="6:119" x14ac:dyDescent="0.2">
      <c r="F46" s="15" t="s">
        <v>160</v>
      </c>
      <c r="G46" s="15" t="s">
        <v>885</v>
      </c>
      <c r="H46" s="51"/>
      <c r="I46" s="51"/>
      <c r="N46" s="15" t="s">
        <v>160</v>
      </c>
      <c r="O46" s="15" t="s">
        <v>885</v>
      </c>
      <c r="R46" s="164" t="s">
        <v>160</v>
      </c>
      <c r="S46" s="164" t="s">
        <v>885</v>
      </c>
      <c r="V46" s="164" t="s">
        <v>160</v>
      </c>
      <c r="W46" s="164" t="s">
        <v>885</v>
      </c>
      <c r="AH46" s="15" t="s">
        <v>160</v>
      </c>
      <c r="AI46" s="15" t="s">
        <v>885</v>
      </c>
      <c r="AL46" s="15" t="s">
        <v>160</v>
      </c>
      <c r="AM46" s="15" t="s">
        <v>885</v>
      </c>
      <c r="AP46" s="164" t="s">
        <v>160</v>
      </c>
      <c r="AQ46" s="164" t="s">
        <v>885</v>
      </c>
      <c r="AT46" s="15" t="s">
        <v>160</v>
      </c>
      <c r="AU46" s="15" t="s">
        <v>885</v>
      </c>
      <c r="BF46" s="164" t="s">
        <v>160</v>
      </c>
      <c r="BG46" s="164" t="s">
        <v>885</v>
      </c>
      <c r="BN46" s="164" t="s">
        <v>160</v>
      </c>
      <c r="BO46" s="164" t="s">
        <v>885</v>
      </c>
      <c r="BV46" s="15" t="s">
        <v>160</v>
      </c>
      <c r="BW46" s="15" t="s">
        <v>885</v>
      </c>
      <c r="BZ46" s="173" t="s">
        <v>160</v>
      </c>
      <c r="CA46" s="173" t="s">
        <v>885</v>
      </c>
      <c r="CD46" s="164" t="s">
        <v>160</v>
      </c>
      <c r="CE46" s="164" t="s">
        <v>885</v>
      </c>
      <c r="CL46" s="164" t="s">
        <v>160</v>
      </c>
      <c r="CM46" s="164" t="s">
        <v>885</v>
      </c>
      <c r="CT46" s="164" t="s">
        <v>160</v>
      </c>
      <c r="CU46" s="164" t="s">
        <v>885</v>
      </c>
      <c r="CX46" s="164" t="s">
        <v>160</v>
      </c>
      <c r="CY46" s="164" t="s">
        <v>885</v>
      </c>
      <c r="DN46" s="173" t="s">
        <v>421</v>
      </c>
      <c r="DO46" s="173" t="s">
        <v>886</v>
      </c>
    </row>
    <row r="47" spans="6:119" x14ac:dyDescent="0.2">
      <c r="F47" s="15" t="s">
        <v>485</v>
      </c>
      <c r="G47" s="15" t="s">
        <v>887</v>
      </c>
      <c r="H47" s="51"/>
      <c r="I47" s="51"/>
      <c r="N47" s="15" t="s">
        <v>485</v>
      </c>
      <c r="O47" s="15" t="s">
        <v>887</v>
      </c>
      <c r="R47" s="164" t="s">
        <v>485</v>
      </c>
      <c r="S47" s="164" t="s">
        <v>887</v>
      </c>
      <c r="V47" s="164" t="s">
        <v>485</v>
      </c>
      <c r="W47" s="164" t="s">
        <v>887</v>
      </c>
      <c r="AH47" s="15" t="s">
        <v>485</v>
      </c>
      <c r="AI47" s="15" t="s">
        <v>887</v>
      </c>
      <c r="AL47" s="15" t="s">
        <v>485</v>
      </c>
      <c r="AM47" s="15" t="s">
        <v>887</v>
      </c>
      <c r="AP47" s="164" t="s">
        <v>485</v>
      </c>
      <c r="AQ47" s="164" t="s">
        <v>887</v>
      </c>
      <c r="AT47" s="15" t="s">
        <v>485</v>
      </c>
      <c r="AU47" s="15" t="s">
        <v>887</v>
      </c>
      <c r="BF47" s="164" t="s">
        <v>485</v>
      </c>
      <c r="BG47" s="164" t="s">
        <v>887</v>
      </c>
      <c r="BN47" s="164" t="s">
        <v>485</v>
      </c>
      <c r="BO47" s="164" t="s">
        <v>887</v>
      </c>
      <c r="BV47" s="15" t="s">
        <v>485</v>
      </c>
      <c r="BW47" s="15" t="s">
        <v>887</v>
      </c>
      <c r="BZ47" s="173" t="s">
        <v>485</v>
      </c>
      <c r="CA47" s="173" t="s">
        <v>887</v>
      </c>
      <c r="CD47" s="164" t="s">
        <v>485</v>
      </c>
      <c r="CE47" s="164" t="s">
        <v>887</v>
      </c>
      <c r="CL47" s="164" t="s">
        <v>485</v>
      </c>
      <c r="CM47" s="164" t="s">
        <v>887</v>
      </c>
      <c r="CT47" s="164" t="s">
        <v>485</v>
      </c>
      <c r="CU47" s="164" t="s">
        <v>887</v>
      </c>
      <c r="CX47" s="164" t="s">
        <v>485</v>
      </c>
      <c r="CY47" s="164" t="s">
        <v>887</v>
      </c>
      <c r="DN47" s="175">
        <v>643</v>
      </c>
      <c r="DO47" s="175">
        <v>-2.2400000000000002</v>
      </c>
    </row>
    <row r="48" spans="6:119" x14ac:dyDescent="0.2">
      <c r="F48" s="10" t="s">
        <v>864</v>
      </c>
      <c r="G48" s="15" t="s">
        <v>158</v>
      </c>
      <c r="H48" s="51"/>
      <c r="I48" s="51"/>
      <c r="N48" s="10" t="s">
        <v>864</v>
      </c>
      <c r="O48" s="15" t="s">
        <v>158</v>
      </c>
      <c r="R48" s="165" t="s">
        <v>864</v>
      </c>
      <c r="S48" s="164" t="s">
        <v>158</v>
      </c>
      <c r="V48" s="165" t="s">
        <v>864</v>
      </c>
      <c r="W48" s="164" t="s">
        <v>158</v>
      </c>
      <c r="AH48" s="10" t="s">
        <v>864</v>
      </c>
      <c r="AI48" s="15" t="s">
        <v>158</v>
      </c>
      <c r="AL48" s="10" t="s">
        <v>864</v>
      </c>
      <c r="AM48" s="15" t="s">
        <v>158</v>
      </c>
      <c r="AP48" s="165" t="s">
        <v>864</v>
      </c>
      <c r="AQ48" s="164" t="s">
        <v>158</v>
      </c>
      <c r="AT48" s="10" t="s">
        <v>864</v>
      </c>
      <c r="AU48" s="15" t="s">
        <v>158</v>
      </c>
      <c r="BF48" s="165" t="s">
        <v>864</v>
      </c>
      <c r="BG48" s="164" t="s">
        <v>158</v>
      </c>
      <c r="BN48" s="165" t="s">
        <v>864</v>
      </c>
      <c r="BO48" s="164" t="s">
        <v>158</v>
      </c>
      <c r="BV48" s="10" t="s">
        <v>864</v>
      </c>
      <c r="BW48" s="15" t="s">
        <v>158</v>
      </c>
      <c r="BZ48" s="174" t="s">
        <v>864</v>
      </c>
      <c r="CA48" s="173" t="s">
        <v>158</v>
      </c>
      <c r="CD48" s="165" t="s">
        <v>864</v>
      </c>
      <c r="CE48" s="164" t="s">
        <v>158</v>
      </c>
      <c r="CL48" s="165" t="s">
        <v>864</v>
      </c>
      <c r="CM48" s="164" t="s">
        <v>158</v>
      </c>
      <c r="CT48" s="165" t="s">
        <v>864</v>
      </c>
      <c r="CU48" s="164" t="s">
        <v>158</v>
      </c>
      <c r="CX48" s="165" t="s">
        <v>864</v>
      </c>
      <c r="CY48" s="164" t="s">
        <v>158</v>
      </c>
      <c r="DN48" s="174" t="s">
        <v>864</v>
      </c>
      <c r="DO48" s="173" t="s">
        <v>158</v>
      </c>
    </row>
    <row r="49" spans="6:122" x14ac:dyDescent="0.2">
      <c r="F49" s="10" t="s">
        <v>864</v>
      </c>
      <c r="G49" s="15" t="s">
        <v>914</v>
      </c>
      <c r="H49" s="51"/>
      <c r="I49" s="51"/>
      <c r="N49" s="10" t="s">
        <v>864</v>
      </c>
      <c r="O49" s="15" t="s">
        <v>915</v>
      </c>
      <c r="R49" s="165" t="s">
        <v>864</v>
      </c>
      <c r="S49" s="164" t="s">
        <v>901</v>
      </c>
      <c r="V49" s="165" t="s">
        <v>864</v>
      </c>
      <c r="W49" s="164" t="s">
        <v>901</v>
      </c>
      <c r="AH49" s="10" t="s">
        <v>864</v>
      </c>
      <c r="AI49" s="15" t="s">
        <v>901</v>
      </c>
      <c r="AL49" s="10" t="s">
        <v>864</v>
      </c>
      <c r="AM49" s="15" t="s">
        <v>901</v>
      </c>
      <c r="AP49" s="165" t="s">
        <v>864</v>
      </c>
      <c r="AQ49" s="164" t="s">
        <v>914</v>
      </c>
      <c r="AT49" s="10" t="s">
        <v>864</v>
      </c>
      <c r="AU49" s="15" t="s">
        <v>915</v>
      </c>
      <c r="BF49" s="165" t="s">
        <v>864</v>
      </c>
      <c r="BG49" s="164" t="s">
        <v>915</v>
      </c>
      <c r="BN49" s="165" t="s">
        <v>864</v>
      </c>
      <c r="BO49" s="164" t="s">
        <v>927</v>
      </c>
      <c r="BV49" s="10" t="s">
        <v>864</v>
      </c>
      <c r="BW49" s="15" t="s">
        <v>927</v>
      </c>
      <c r="BZ49" s="174" t="s">
        <v>864</v>
      </c>
      <c r="CA49" s="173" t="s">
        <v>927</v>
      </c>
      <c r="CD49" s="165" t="s">
        <v>864</v>
      </c>
      <c r="CE49" s="164" t="s">
        <v>914</v>
      </c>
      <c r="CL49" s="165" t="s">
        <v>864</v>
      </c>
      <c r="CM49" s="164" t="s">
        <v>914</v>
      </c>
      <c r="CT49" s="165" t="s">
        <v>864</v>
      </c>
      <c r="CU49" s="164" t="s">
        <v>915</v>
      </c>
      <c r="CX49" s="165" t="s">
        <v>864</v>
      </c>
      <c r="CY49" s="164" t="s">
        <v>915</v>
      </c>
      <c r="DN49" s="174" t="s">
        <v>864</v>
      </c>
      <c r="DO49" s="173" t="s">
        <v>925</v>
      </c>
    </row>
    <row r="50" spans="6:122" x14ac:dyDescent="0.2">
      <c r="H50" s="51"/>
      <c r="I50" s="51"/>
      <c r="DN50" s="39"/>
      <c r="DO50" s="39"/>
    </row>
    <row r="51" spans="6:122" x14ac:dyDescent="0.2">
      <c r="F51" s="15" t="s">
        <v>117</v>
      </c>
      <c r="G51" s="15" t="s">
        <v>884</v>
      </c>
      <c r="H51" s="214" t="s">
        <v>953</v>
      </c>
      <c r="I51" s="215"/>
      <c r="N51" s="15" t="s">
        <v>117</v>
      </c>
      <c r="O51" s="15" t="s">
        <v>884</v>
      </c>
      <c r="R51" s="164" t="s">
        <v>117</v>
      </c>
      <c r="S51" s="164" t="s">
        <v>884</v>
      </c>
      <c r="V51" s="164" t="s">
        <v>117</v>
      </c>
      <c r="W51" s="164" t="s">
        <v>884</v>
      </c>
      <c r="AH51" s="25" t="s">
        <v>117</v>
      </c>
      <c r="AI51" s="25" t="s">
        <v>884</v>
      </c>
      <c r="AL51" s="25" t="s">
        <v>117</v>
      </c>
      <c r="AM51" s="25" t="s">
        <v>884</v>
      </c>
      <c r="AP51" s="164" t="s">
        <v>117</v>
      </c>
      <c r="AQ51" s="164" t="s">
        <v>884</v>
      </c>
      <c r="AT51" s="164" t="s">
        <v>117</v>
      </c>
      <c r="AU51" s="164" t="s">
        <v>884</v>
      </c>
      <c r="BF51" s="167" t="s">
        <v>117</v>
      </c>
      <c r="BG51" s="167" t="s">
        <v>884</v>
      </c>
      <c r="BN51" s="164" t="s">
        <v>117</v>
      </c>
      <c r="BO51" s="164" t="s">
        <v>884</v>
      </c>
      <c r="BV51" s="25" t="s">
        <v>117</v>
      </c>
      <c r="BW51" s="25" t="s">
        <v>884</v>
      </c>
      <c r="BZ51" s="25" t="s">
        <v>117</v>
      </c>
      <c r="CA51" s="25" t="s">
        <v>884</v>
      </c>
      <c r="CD51" s="25" t="s">
        <v>117</v>
      </c>
      <c r="CE51" s="25" t="s">
        <v>884</v>
      </c>
      <c r="CL51" s="25" t="s">
        <v>117</v>
      </c>
      <c r="CM51" s="25" t="s">
        <v>884</v>
      </c>
      <c r="CT51" s="164" t="s">
        <v>117</v>
      </c>
      <c r="CU51" s="164" t="s">
        <v>884</v>
      </c>
      <c r="CX51" s="164" t="s">
        <v>117</v>
      </c>
      <c r="CY51" s="164" t="s">
        <v>884</v>
      </c>
      <c r="DN51" s="170" t="s">
        <v>117</v>
      </c>
      <c r="DO51" s="164" t="s">
        <v>884</v>
      </c>
    </row>
    <row r="52" spans="6:122" x14ac:dyDescent="0.2">
      <c r="F52" s="15" t="s">
        <v>889</v>
      </c>
      <c r="G52" s="15" t="s">
        <v>434</v>
      </c>
      <c r="H52" s="51"/>
      <c r="I52" s="51"/>
      <c r="N52" s="15">
        <v>625</v>
      </c>
      <c r="O52" s="15">
        <v>-2.2799999999999998</v>
      </c>
      <c r="R52" s="164" t="s">
        <v>902</v>
      </c>
      <c r="S52" s="164" t="s">
        <v>434</v>
      </c>
      <c r="V52" s="164" t="s">
        <v>904</v>
      </c>
      <c r="W52" s="164">
        <v>-1.54</v>
      </c>
      <c r="AH52" s="25">
        <v>465</v>
      </c>
      <c r="AI52" s="25">
        <v>-2.27</v>
      </c>
      <c r="AL52" s="25" t="s">
        <v>911</v>
      </c>
      <c r="AM52" s="25">
        <v>-1.62</v>
      </c>
      <c r="AP52" s="164">
        <v>356</v>
      </c>
      <c r="AQ52" s="164">
        <v>-4.1100000000000003</v>
      </c>
      <c r="AT52" s="164">
        <v>365</v>
      </c>
      <c r="AU52" s="164">
        <v>-2.2200000000000002</v>
      </c>
      <c r="BF52" s="167" t="s">
        <v>907</v>
      </c>
      <c r="BG52" s="167">
        <v>-1.98</v>
      </c>
      <c r="BN52" s="164">
        <v>650</v>
      </c>
      <c r="BO52" s="164">
        <v>-4.1100000000000003</v>
      </c>
      <c r="BV52" s="25">
        <v>645</v>
      </c>
      <c r="BW52" s="25">
        <v>-2.2200000000000002</v>
      </c>
      <c r="BZ52" s="25" t="s">
        <v>933</v>
      </c>
      <c r="CA52" s="25">
        <v>-1.98</v>
      </c>
      <c r="CD52" s="25">
        <v>456</v>
      </c>
      <c r="CE52" s="25">
        <v>-1.28</v>
      </c>
      <c r="CL52" s="25" t="s">
        <v>938</v>
      </c>
      <c r="CM52" s="25">
        <v>-1.7</v>
      </c>
      <c r="CT52" s="164">
        <v>650</v>
      </c>
      <c r="CU52" s="164">
        <v>-1.28</v>
      </c>
      <c r="CX52" s="164" t="s">
        <v>930</v>
      </c>
      <c r="CY52" s="164">
        <v>-1.7</v>
      </c>
      <c r="DN52" s="164" t="s">
        <v>160</v>
      </c>
      <c r="DO52" s="164" t="s">
        <v>885</v>
      </c>
    </row>
    <row r="53" spans="6:122" x14ac:dyDescent="0.2">
      <c r="F53" s="15" t="s">
        <v>421</v>
      </c>
      <c r="G53" s="15" t="s">
        <v>886</v>
      </c>
      <c r="H53" s="51"/>
      <c r="I53" s="51"/>
      <c r="N53" s="15" t="s">
        <v>421</v>
      </c>
      <c r="O53" s="15" t="s">
        <v>886</v>
      </c>
      <c r="R53" s="164">
        <v>320</v>
      </c>
      <c r="S53" s="164" t="s">
        <v>886</v>
      </c>
      <c r="V53" s="164">
        <v>320</v>
      </c>
      <c r="W53" s="164" t="s">
        <v>886</v>
      </c>
      <c r="AH53" s="25">
        <v>320</v>
      </c>
      <c r="AI53" s="25" t="s">
        <v>886</v>
      </c>
      <c r="AL53" s="25">
        <v>320</v>
      </c>
      <c r="AM53" s="25" t="s">
        <v>886</v>
      </c>
      <c r="AP53" s="164">
        <v>320</v>
      </c>
      <c r="AQ53" s="164" t="s">
        <v>886</v>
      </c>
      <c r="AT53" s="164">
        <v>320</v>
      </c>
      <c r="AU53" s="164" t="s">
        <v>886</v>
      </c>
      <c r="BF53" s="167">
        <v>320</v>
      </c>
      <c r="BG53" s="167" t="s">
        <v>886</v>
      </c>
      <c r="BN53" s="164">
        <v>320</v>
      </c>
      <c r="BO53" s="164" t="s">
        <v>886</v>
      </c>
      <c r="BV53" s="25">
        <v>320</v>
      </c>
      <c r="BW53" s="25" t="s">
        <v>886</v>
      </c>
      <c r="BZ53" s="25">
        <v>320</v>
      </c>
      <c r="CA53" s="25" t="s">
        <v>886</v>
      </c>
      <c r="CD53" s="25">
        <v>320</v>
      </c>
      <c r="CE53" s="25" t="s">
        <v>886</v>
      </c>
      <c r="CL53" s="25">
        <v>320</v>
      </c>
      <c r="CM53" s="25" t="s">
        <v>886</v>
      </c>
      <c r="CT53" s="164">
        <v>320</v>
      </c>
      <c r="CU53" s="164" t="s">
        <v>886</v>
      </c>
      <c r="CX53" s="164">
        <v>320</v>
      </c>
      <c r="CY53" s="164" t="s">
        <v>886</v>
      </c>
      <c r="DN53" s="164" t="s">
        <v>485</v>
      </c>
      <c r="DO53" s="164" t="s">
        <v>887</v>
      </c>
    </row>
    <row r="54" spans="6:122" x14ac:dyDescent="0.2">
      <c r="F54" s="15" t="s">
        <v>125</v>
      </c>
      <c r="G54" s="15" t="s">
        <v>520</v>
      </c>
      <c r="H54" s="51"/>
      <c r="I54" s="51"/>
      <c r="N54" s="164" t="s">
        <v>125</v>
      </c>
      <c r="O54" s="164" t="s">
        <v>520</v>
      </c>
      <c r="R54" s="164">
        <v>340</v>
      </c>
      <c r="S54" s="164" t="s">
        <v>520</v>
      </c>
      <c r="V54" s="164">
        <v>340</v>
      </c>
      <c r="W54" s="164" t="s">
        <v>520</v>
      </c>
      <c r="AH54" s="25">
        <v>340</v>
      </c>
      <c r="AI54" s="25" t="s">
        <v>520</v>
      </c>
      <c r="AL54" s="25">
        <v>340</v>
      </c>
      <c r="AM54" s="25" t="s">
        <v>520</v>
      </c>
      <c r="AP54" s="164">
        <v>340</v>
      </c>
      <c r="AQ54" s="164" t="s">
        <v>520</v>
      </c>
      <c r="AT54" s="164">
        <v>340</v>
      </c>
      <c r="AU54" s="164" t="s">
        <v>520</v>
      </c>
      <c r="BF54" s="167">
        <v>340</v>
      </c>
      <c r="BG54" s="167" t="s">
        <v>520</v>
      </c>
      <c r="BN54" s="164">
        <v>340</v>
      </c>
      <c r="BO54" s="164" t="s">
        <v>520</v>
      </c>
      <c r="BV54" s="25">
        <v>340</v>
      </c>
      <c r="BW54" s="25" t="s">
        <v>520</v>
      </c>
      <c r="BZ54" s="25">
        <v>340</v>
      </c>
      <c r="CA54" s="25" t="s">
        <v>520</v>
      </c>
      <c r="CD54" s="25">
        <v>340</v>
      </c>
      <c r="CE54" s="25" t="s">
        <v>520</v>
      </c>
      <c r="CL54" s="25">
        <v>340</v>
      </c>
      <c r="CM54" s="25" t="s">
        <v>520</v>
      </c>
      <c r="CT54" s="164">
        <v>340</v>
      </c>
      <c r="CU54" s="164" t="s">
        <v>520</v>
      </c>
      <c r="CX54" s="164">
        <v>340</v>
      </c>
      <c r="CY54" s="166" t="s">
        <v>520</v>
      </c>
      <c r="DN54" s="164" t="s">
        <v>961</v>
      </c>
      <c r="DO54" s="164" t="s">
        <v>962</v>
      </c>
    </row>
    <row r="55" spans="6:122" x14ac:dyDescent="0.2">
      <c r="F55" s="10" t="s">
        <v>864</v>
      </c>
      <c r="G55" s="15" t="s">
        <v>158</v>
      </c>
      <c r="H55" s="51"/>
      <c r="I55" s="51"/>
      <c r="N55" s="10" t="s">
        <v>864</v>
      </c>
      <c r="O55" s="15" t="s">
        <v>158</v>
      </c>
      <c r="R55" s="165" t="s">
        <v>864</v>
      </c>
      <c r="S55" s="164" t="s">
        <v>158</v>
      </c>
      <c r="V55" s="165" t="s">
        <v>864</v>
      </c>
      <c r="W55" s="164" t="s">
        <v>158</v>
      </c>
      <c r="AH55" s="87" t="s">
        <v>864</v>
      </c>
      <c r="AI55" s="25" t="s">
        <v>158</v>
      </c>
      <c r="AL55" s="87" t="s">
        <v>864</v>
      </c>
      <c r="AM55" s="25" t="s">
        <v>158</v>
      </c>
      <c r="AP55" s="165" t="s">
        <v>864</v>
      </c>
      <c r="AQ55" s="164" t="s">
        <v>158</v>
      </c>
      <c r="AT55" s="165" t="s">
        <v>864</v>
      </c>
      <c r="AU55" s="164" t="s">
        <v>158</v>
      </c>
      <c r="BF55" s="168" t="s">
        <v>864</v>
      </c>
      <c r="BG55" s="167" t="s">
        <v>158</v>
      </c>
      <c r="BN55" s="165" t="s">
        <v>864</v>
      </c>
      <c r="BO55" s="164" t="s">
        <v>158</v>
      </c>
      <c r="BV55" s="87" t="s">
        <v>864</v>
      </c>
      <c r="BW55" s="25" t="s">
        <v>158</v>
      </c>
      <c r="BZ55" s="87" t="s">
        <v>864</v>
      </c>
      <c r="CA55" s="25" t="s">
        <v>158</v>
      </c>
      <c r="CD55" s="87" t="s">
        <v>864</v>
      </c>
      <c r="CE55" s="25" t="s">
        <v>158</v>
      </c>
      <c r="CL55" s="87" t="s">
        <v>864</v>
      </c>
      <c r="CM55" s="25" t="s">
        <v>158</v>
      </c>
      <c r="CT55" s="165" t="s">
        <v>864</v>
      </c>
      <c r="CU55" s="164" t="s">
        <v>158</v>
      </c>
      <c r="CX55" s="165" t="s">
        <v>864</v>
      </c>
      <c r="CY55" s="164" t="s">
        <v>158</v>
      </c>
      <c r="DN55" s="165" t="s">
        <v>864</v>
      </c>
      <c r="DO55" s="164" t="s">
        <v>158</v>
      </c>
    </row>
    <row r="56" spans="6:122" x14ac:dyDescent="0.2">
      <c r="F56" s="10" t="s">
        <v>864</v>
      </c>
      <c r="G56" s="15" t="s">
        <v>914</v>
      </c>
      <c r="H56" s="51"/>
      <c r="I56" s="51"/>
      <c r="N56" s="10" t="s">
        <v>864</v>
      </c>
      <c r="O56" s="15" t="s">
        <v>915</v>
      </c>
      <c r="R56" s="165" t="s">
        <v>864</v>
      </c>
      <c r="S56" s="164" t="s">
        <v>901</v>
      </c>
      <c r="V56" s="165" t="s">
        <v>864</v>
      </c>
      <c r="W56" s="164" t="s">
        <v>901</v>
      </c>
      <c r="AH56" s="87" t="s">
        <v>864</v>
      </c>
      <c r="AI56" s="25" t="s">
        <v>901</v>
      </c>
      <c r="AL56" s="87" t="s">
        <v>864</v>
      </c>
      <c r="AM56" s="25" t="s">
        <v>901</v>
      </c>
      <c r="AP56" s="165" t="s">
        <v>864</v>
      </c>
      <c r="AQ56" s="164" t="s">
        <v>914</v>
      </c>
      <c r="AT56" s="165" t="s">
        <v>864</v>
      </c>
      <c r="AU56" s="164" t="s">
        <v>915</v>
      </c>
      <c r="BF56" s="168" t="s">
        <v>864</v>
      </c>
      <c r="BG56" s="167" t="s">
        <v>915</v>
      </c>
      <c r="BN56" s="165" t="s">
        <v>864</v>
      </c>
      <c r="BO56" s="164" t="s">
        <v>927</v>
      </c>
      <c r="BV56" s="87" t="s">
        <v>864</v>
      </c>
      <c r="BW56" s="25" t="s">
        <v>927</v>
      </c>
      <c r="BZ56" s="87" t="s">
        <v>864</v>
      </c>
      <c r="CA56" s="25" t="s">
        <v>927</v>
      </c>
      <c r="CD56" s="87" t="s">
        <v>864</v>
      </c>
      <c r="CE56" s="25" t="s">
        <v>914</v>
      </c>
      <c r="CL56" s="87" t="s">
        <v>864</v>
      </c>
      <c r="CM56" s="25" t="s">
        <v>914</v>
      </c>
      <c r="CT56" s="165" t="s">
        <v>864</v>
      </c>
      <c r="CU56" s="164" t="s">
        <v>915</v>
      </c>
      <c r="CX56" s="165" t="s">
        <v>864</v>
      </c>
      <c r="CY56" s="164" t="s">
        <v>915</v>
      </c>
      <c r="DN56" s="165" t="s">
        <v>864</v>
      </c>
      <c r="DO56" s="164" t="s">
        <v>925</v>
      </c>
    </row>
    <row r="57" spans="6:122" x14ac:dyDescent="0.2">
      <c r="F57" s="39"/>
      <c r="G57" s="39"/>
      <c r="H57" s="51"/>
      <c r="I57" s="51"/>
      <c r="N57" s="39"/>
      <c r="O57" s="39"/>
      <c r="R57" s="39"/>
      <c r="S57" s="39"/>
      <c r="V57" s="39"/>
      <c r="W57" s="39"/>
      <c r="AH57" s="39"/>
      <c r="AI57" s="39"/>
      <c r="AL57" s="39"/>
      <c r="AM57" s="39"/>
      <c r="AP57" s="39"/>
      <c r="AQ57" s="39"/>
      <c r="AT57" s="39"/>
      <c r="AU57" s="39"/>
      <c r="BF57" s="39"/>
      <c r="BG57" s="39"/>
      <c r="BN57" s="39"/>
      <c r="BO57" s="39"/>
      <c r="BV57" s="39"/>
      <c r="BW57" s="39"/>
      <c r="BZ57" s="39"/>
      <c r="CA57" s="39"/>
      <c r="CD57" s="39"/>
      <c r="CE57" s="39"/>
      <c r="CL57" s="39"/>
      <c r="CM57" s="39"/>
      <c r="CT57" s="39"/>
      <c r="CU57" s="39"/>
      <c r="CX57" s="39"/>
      <c r="CY57" s="39"/>
      <c r="DN57" s="39"/>
      <c r="DO57" s="39"/>
    </row>
    <row r="58" spans="6:122" x14ac:dyDescent="0.2">
      <c r="F58" s="15" t="s">
        <v>117</v>
      </c>
      <c r="G58" s="15" t="s">
        <v>884</v>
      </c>
      <c r="H58" s="214" t="s">
        <v>954</v>
      </c>
      <c r="I58" s="215"/>
      <c r="N58" s="15" t="s">
        <v>117</v>
      </c>
      <c r="O58" s="15" t="s">
        <v>884</v>
      </c>
      <c r="R58" s="164" t="s">
        <v>117</v>
      </c>
      <c r="S58" s="164" t="s">
        <v>884</v>
      </c>
      <c r="V58" s="164" t="s">
        <v>117</v>
      </c>
      <c r="W58" s="164" t="s">
        <v>884</v>
      </c>
      <c r="AH58" s="15" t="s">
        <v>117</v>
      </c>
      <c r="AI58" s="15" t="s">
        <v>884</v>
      </c>
      <c r="AL58" s="15" t="s">
        <v>117</v>
      </c>
      <c r="AM58" s="15" t="s">
        <v>884</v>
      </c>
      <c r="AP58" s="164" t="s">
        <v>117</v>
      </c>
      <c r="AQ58" s="164" t="s">
        <v>884</v>
      </c>
      <c r="AT58" s="164" t="s">
        <v>117</v>
      </c>
      <c r="AU58" s="164" t="s">
        <v>884</v>
      </c>
      <c r="BF58" s="164" t="s">
        <v>117</v>
      </c>
      <c r="BG58" s="164" t="s">
        <v>884</v>
      </c>
      <c r="BN58" s="164" t="s">
        <v>117</v>
      </c>
      <c r="BO58" s="164" t="s">
        <v>884</v>
      </c>
      <c r="BV58" s="15" t="s">
        <v>117</v>
      </c>
      <c r="BW58" s="15" t="s">
        <v>884</v>
      </c>
      <c r="BZ58" s="15" t="s">
        <v>117</v>
      </c>
      <c r="CA58" s="15" t="s">
        <v>884</v>
      </c>
      <c r="CD58" s="164" t="s">
        <v>117</v>
      </c>
      <c r="CE58" s="164" t="s">
        <v>884</v>
      </c>
      <c r="CL58" s="164" t="s">
        <v>117</v>
      </c>
      <c r="CM58" s="164" t="s">
        <v>884</v>
      </c>
      <c r="CT58" s="164" t="s">
        <v>117</v>
      </c>
      <c r="CU58" s="164" t="s">
        <v>884</v>
      </c>
      <c r="CX58" s="164" t="s">
        <v>117</v>
      </c>
      <c r="CY58" s="164" t="s">
        <v>884</v>
      </c>
      <c r="DN58" s="175" t="s">
        <v>117</v>
      </c>
      <c r="DO58" s="173" t="s">
        <v>884</v>
      </c>
    </row>
    <row r="59" spans="6:122" x14ac:dyDescent="0.2">
      <c r="F59" s="15" t="s">
        <v>889</v>
      </c>
      <c r="G59" s="15" t="s">
        <v>434</v>
      </c>
      <c r="H59" s="51"/>
      <c r="I59" s="51"/>
      <c r="N59" s="15">
        <v>625</v>
      </c>
      <c r="O59" s="15">
        <v>-2.2799999999999998</v>
      </c>
      <c r="R59" s="164" t="s">
        <v>902</v>
      </c>
      <c r="S59" s="164" t="s">
        <v>434</v>
      </c>
      <c r="V59" s="164" t="s">
        <v>904</v>
      </c>
      <c r="W59" s="164">
        <v>-1.54</v>
      </c>
      <c r="AH59" s="15">
        <v>465</v>
      </c>
      <c r="AI59" s="15">
        <v>-2.27</v>
      </c>
      <c r="AL59" s="15" t="s">
        <v>911</v>
      </c>
      <c r="AM59" s="15">
        <v>-1.62</v>
      </c>
      <c r="AP59" s="164">
        <v>356</v>
      </c>
      <c r="AQ59" s="164">
        <v>-4.1100000000000003</v>
      </c>
      <c r="AT59" s="164">
        <v>365</v>
      </c>
      <c r="AU59" s="164">
        <v>-2.2200000000000002</v>
      </c>
      <c r="BF59" s="164" t="s">
        <v>907</v>
      </c>
      <c r="BG59" s="164">
        <v>-1.98</v>
      </c>
      <c r="BN59" s="164">
        <v>650</v>
      </c>
      <c r="BO59" s="164">
        <v>-4.1100000000000003</v>
      </c>
      <c r="BV59" s="15">
        <v>645</v>
      </c>
      <c r="BW59" s="15">
        <v>-2.2200000000000002</v>
      </c>
      <c r="BZ59" s="15" t="s">
        <v>933</v>
      </c>
      <c r="CA59" s="15">
        <v>-1.98</v>
      </c>
      <c r="CD59" s="164">
        <v>456</v>
      </c>
      <c r="CE59" s="164">
        <v>-1.28</v>
      </c>
      <c r="CL59" s="164" t="s">
        <v>938</v>
      </c>
      <c r="CM59" s="164">
        <v>-1.7</v>
      </c>
      <c r="CT59" s="164">
        <v>650</v>
      </c>
      <c r="CU59" s="164">
        <v>-1.28</v>
      </c>
      <c r="CX59" s="164" t="s">
        <v>930</v>
      </c>
      <c r="CY59" s="164">
        <v>-1.7</v>
      </c>
      <c r="DN59" s="173" t="s">
        <v>160</v>
      </c>
      <c r="DO59" s="173" t="s">
        <v>885</v>
      </c>
    </row>
    <row r="60" spans="6:122" x14ac:dyDescent="0.2">
      <c r="F60" s="15" t="s">
        <v>421</v>
      </c>
      <c r="G60" s="15" t="s">
        <v>886</v>
      </c>
      <c r="H60" s="51"/>
      <c r="I60" s="51"/>
      <c r="N60" s="15" t="s">
        <v>421</v>
      </c>
      <c r="O60" s="15" t="s">
        <v>886</v>
      </c>
      <c r="R60" s="164">
        <v>320</v>
      </c>
      <c r="S60" s="164" t="s">
        <v>886</v>
      </c>
      <c r="V60" s="164">
        <v>320</v>
      </c>
      <c r="W60" s="164" t="s">
        <v>886</v>
      </c>
      <c r="AH60" s="15">
        <v>320</v>
      </c>
      <c r="AI60" s="15" t="s">
        <v>886</v>
      </c>
      <c r="AL60" s="15">
        <v>320</v>
      </c>
      <c r="AM60" s="15" t="s">
        <v>886</v>
      </c>
      <c r="AP60" s="164">
        <v>320</v>
      </c>
      <c r="AQ60" s="164" t="s">
        <v>886</v>
      </c>
      <c r="AT60" s="164">
        <v>320</v>
      </c>
      <c r="AU60" s="164" t="s">
        <v>886</v>
      </c>
      <c r="BF60" s="164">
        <v>320</v>
      </c>
      <c r="BG60" s="164" t="s">
        <v>886</v>
      </c>
      <c r="BN60" s="164">
        <v>320</v>
      </c>
      <c r="BO60" s="164" t="s">
        <v>886</v>
      </c>
      <c r="BV60" s="15">
        <v>320</v>
      </c>
      <c r="BW60" s="15" t="s">
        <v>886</v>
      </c>
      <c r="BZ60" s="15">
        <v>320</v>
      </c>
      <c r="CA60" s="15" t="s">
        <v>886</v>
      </c>
      <c r="CD60" s="164">
        <v>320</v>
      </c>
      <c r="CE60" s="164" t="s">
        <v>886</v>
      </c>
      <c r="CL60" s="164">
        <v>320</v>
      </c>
      <c r="CM60" s="164" t="s">
        <v>886</v>
      </c>
      <c r="CT60" s="164">
        <v>320</v>
      </c>
      <c r="CU60" s="164" t="s">
        <v>886</v>
      </c>
      <c r="CX60" s="164">
        <v>320</v>
      </c>
      <c r="CY60" s="164" t="s">
        <v>886</v>
      </c>
      <c r="DN60" s="173" t="s">
        <v>485</v>
      </c>
      <c r="DO60" s="173" t="s">
        <v>887</v>
      </c>
      <c r="DQ60" s="214" t="s">
        <v>970</v>
      </c>
      <c r="DR60" s="215"/>
    </row>
    <row r="61" spans="6:122" x14ac:dyDescent="0.2">
      <c r="F61" s="15" t="s">
        <v>485</v>
      </c>
      <c r="G61" s="15" t="s">
        <v>887</v>
      </c>
      <c r="H61" s="51"/>
      <c r="I61" s="51"/>
      <c r="N61" s="15" t="s">
        <v>485</v>
      </c>
      <c r="O61" s="15" t="s">
        <v>887</v>
      </c>
      <c r="R61" s="164" t="s">
        <v>485</v>
      </c>
      <c r="S61" s="164" t="s">
        <v>887</v>
      </c>
      <c r="V61" s="164" t="s">
        <v>485</v>
      </c>
      <c r="W61" s="164" t="s">
        <v>887</v>
      </c>
      <c r="AH61" s="15" t="s">
        <v>485</v>
      </c>
      <c r="AI61" s="15" t="s">
        <v>887</v>
      </c>
      <c r="AL61" s="15" t="s">
        <v>485</v>
      </c>
      <c r="AM61" s="15" t="s">
        <v>887</v>
      </c>
      <c r="AP61" s="164" t="s">
        <v>485</v>
      </c>
      <c r="AQ61" s="164" t="s">
        <v>887</v>
      </c>
      <c r="AT61" s="164" t="s">
        <v>485</v>
      </c>
      <c r="AU61" s="164" t="s">
        <v>887</v>
      </c>
      <c r="BF61" s="164" t="s">
        <v>485</v>
      </c>
      <c r="BG61" s="164" t="s">
        <v>887</v>
      </c>
      <c r="BN61" s="164" t="s">
        <v>485</v>
      </c>
      <c r="BO61" s="164" t="s">
        <v>887</v>
      </c>
      <c r="BV61" s="15" t="s">
        <v>485</v>
      </c>
      <c r="BW61" s="15" t="s">
        <v>887</v>
      </c>
      <c r="BZ61" s="15" t="s">
        <v>485</v>
      </c>
      <c r="CA61" s="15" t="s">
        <v>887</v>
      </c>
      <c r="CD61" s="164" t="s">
        <v>485</v>
      </c>
      <c r="CE61" s="164" t="s">
        <v>887</v>
      </c>
      <c r="CL61" s="164" t="s">
        <v>485</v>
      </c>
      <c r="CM61" s="164" t="s">
        <v>887</v>
      </c>
      <c r="CT61" s="164" t="s">
        <v>485</v>
      </c>
      <c r="CU61" s="164" t="s">
        <v>887</v>
      </c>
      <c r="CX61" s="164" t="s">
        <v>485</v>
      </c>
      <c r="CY61" s="164" t="s">
        <v>887</v>
      </c>
      <c r="DN61" s="175">
        <v>643</v>
      </c>
      <c r="DO61" s="175">
        <v>-2.2400000000000002</v>
      </c>
    </row>
    <row r="62" spans="6:122" x14ac:dyDescent="0.2">
      <c r="F62" s="10" t="s">
        <v>864</v>
      </c>
      <c r="G62" s="15" t="s">
        <v>158</v>
      </c>
      <c r="H62" s="51"/>
      <c r="I62" s="51"/>
      <c r="N62" s="10" t="s">
        <v>864</v>
      </c>
      <c r="O62" s="15" t="s">
        <v>158</v>
      </c>
      <c r="R62" s="165" t="s">
        <v>864</v>
      </c>
      <c r="S62" s="164" t="s">
        <v>158</v>
      </c>
      <c r="V62" s="165" t="s">
        <v>864</v>
      </c>
      <c r="W62" s="164" t="s">
        <v>158</v>
      </c>
      <c r="AH62" s="10" t="s">
        <v>864</v>
      </c>
      <c r="AI62" s="15" t="s">
        <v>158</v>
      </c>
      <c r="AL62" s="10" t="s">
        <v>864</v>
      </c>
      <c r="AM62" s="15" t="s">
        <v>158</v>
      </c>
      <c r="AP62" s="165" t="s">
        <v>864</v>
      </c>
      <c r="AQ62" s="164" t="s">
        <v>158</v>
      </c>
      <c r="AT62" s="165" t="s">
        <v>864</v>
      </c>
      <c r="AU62" s="164" t="s">
        <v>158</v>
      </c>
      <c r="BF62" s="165" t="s">
        <v>864</v>
      </c>
      <c r="BG62" s="164" t="s">
        <v>158</v>
      </c>
      <c r="BN62" s="165" t="s">
        <v>864</v>
      </c>
      <c r="BO62" s="164" t="s">
        <v>158</v>
      </c>
      <c r="BV62" s="10" t="s">
        <v>864</v>
      </c>
      <c r="BW62" s="15" t="s">
        <v>158</v>
      </c>
      <c r="BZ62" s="10" t="s">
        <v>864</v>
      </c>
      <c r="CA62" s="15" t="s">
        <v>158</v>
      </c>
      <c r="CD62" s="165" t="s">
        <v>864</v>
      </c>
      <c r="CE62" s="164" t="s">
        <v>158</v>
      </c>
      <c r="CL62" s="165" t="s">
        <v>864</v>
      </c>
      <c r="CM62" s="164" t="s">
        <v>158</v>
      </c>
      <c r="CT62" s="165" t="s">
        <v>864</v>
      </c>
      <c r="CU62" s="164" t="s">
        <v>158</v>
      </c>
      <c r="CX62" s="165" t="s">
        <v>864</v>
      </c>
      <c r="CY62" s="164" t="s">
        <v>158</v>
      </c>
      <c r="DN62" s="174" t="s">
        <v>864</v>
      </c>
      <c r="DO62" s="173" t="s">
        <v>158</v>
      </c>
    </row>
    <row r="63" spans="6:122" x14ac:dyDescent="0.2">
      <c r="F63" s="10" t="s">
        <v>864</v>
      </c>
      <c r="G63" s="15" t="s">
        <v>914</v>
      </c>
      <c r="H63" s="51"/>
      <c r="I63" s="51"/>
      <c r="N63" s="10" t="s">
        <v>864</v>
      </c>
      <c r="O63" s="15" t="s">
        <v>915</v>
      </c>
      <c r="R63" s="165" t="s">
        <v>864</v>
      </c>
      <c r="S63" s="164" t="s">
        <v>901</v>
      </c>
      <c r="V63" s="165" t="s">
        <v>864</v>
      </c>
      <c r="W63" s="164" t="s">
        <v>901</v>
      </c>
      <c r="AH63" s="10" t="s">
        <v>864</v>
      </c>
      <c r="AI63" s="15" t="s">
        <v>901</v>
      </c>
      <c r="AL63" s="10" t="s">
        <v>864</v>
      </c>
      <c r="AM63" s="15" t="s">
        <v>901</v>
      </c>
      <c r="AP63" s="165" t="s">
        <v>864</v>
      </c>
      <c r="AQ63" s="164" t="s">
        <v>914</v>
      </c>
      <c r="AT63" s="165" t="s">
        <v>864</v>
      </c>
      <c r="AU63" s="164" t="s">
        <v>915</v>
      </c>
      <c r="BF63" s="165" t="s">
        <v>864</v>
      </c>
      <c r="BG63" s="164" t="s">
        <v>915</v>
      </c>
      <c r="BN63" s="165" t="s">
        <v>864</v>
      </c>
      <c r="BO63" s="164" t="s">
        <v>927</v>
      </c>
      <c r="BV63" s="10" t="s">
        <v>864</v>
      </c>
      <c r="BW63" s="15" t="s">
        <v>927</v>
      </c>
      <c r="BZ63" s="10" t="s">
        <v>864</v>
      </c>
      <c r="CA63" s="15" t="s">
        <v>927</v>
      </c>
      <c r="CD63" s="165" t="s">
        <v>864</v>
      </c>
      <c r="CE63" s="164" t="s">
        <v>914</v>
      </c>
      <c r="CL63" s="165" t="s">
        <v>864</v>
      </c>
      <c r="CM63" s="164" t="s">
        <v>914</v>
      </c>
      <c r="CT63" s="165" t="s">
        <v>864</v>
      </c>
      <c r="CU63" s="164" t="s">
        <v>915</v>
      </c>
      <c r="CX63" s="165" t="s">
        <v>864</v>
      </c>
      <c r="CY63" s="164" t="s">
        <v>915</v>
      </c>
      <c r="DN63" s="174" t="s">
        <v>864</v>
      </c>
      <c r="DO63" s="173" t="s">
        <v>925</v>
      </c>
    </row>
    <row r="64" spans="6:122" x14ac:dyDescent="0.2">
      <c r="H64" s="51"/>
      <c r="I64" s="51"/>
      <c r="DN64" s="39"/>
      <c r="DO64" s="39"/>
    </row>
    <row r="65" spans="6:119" x14ac:dyDescent="0.2">
      <c r="F65" s="15" t="s">
        <v>117</v>
      </c>
      <c r="G65" s="15" t="s">
        <v>884</v>
      </c>
      <c r="H65" s="214" t="s">
        <v>955</v>
      </c>
      <c r="I65" s="215"/>
      <c r="N65" s="15" t="s">
        <v>117</v>
      </c>
      <c r="O65" s="15" t="s">
        <v>884</v>
      </c>
      <c r="R65" s="164" t="s">
        <v>117</v>
      </c>
      <c r="S65" s="164" t="s">
        <v>884</v>
      </c>
      <c r="V65" s="164" t="s">
        <v>117</v>
      </c>
      <c r="W65" s="164" t="s">
        <v>884</v>
      </c>
      <c r="AH65" s="164" t="s">
        <v>117</v>
      </c>
      <c r="AI65" s="164" t="s">
        <v>884</v>
      </c>
      <c r="AL65" s="15" t="s">
        <v>117</v>
      </c>
      <c r="AM65" s="15" t="s">
        <v>884</v>
      </c>
      <c r="AP65" s="164" t="s">
        <v>117</v>
      </c>
      <c r="AQ65" s="164" t="s">
        <v>884</v>
      </c>
      <c r="AT65" s="164" t="s">
        <v>117</v>
      </c>
      <c r="AU65" s="164" t="s">
        <v>884</v>
      </c>
      <c r="BF65" s="164" t="s">
        <v>117</v>
      </c>
      <c r="BG65" s="164" t="s">
        <v>884</v>
      </c>
      <c r="BN65" s="164" t="s">
        <v>117</v>
      </c>
      <c r="BO65" s="164" t="s">
        <v>884</v>
      </c>
      <c r="BV65" s="15" t="s">
        <v>117</v>
      </c>
      <c r="BW65" s="15" t="s">
        <v>884</v>
      </c>
      <c r="BZ65" s="164" t="s">
        <v>117</v>
      </c>
      <c r="CA65" s="164" t="s">
        <v>884</v>
      </c>
      <c r="CD65" s="164" t="s">
        <v>117</v>
      </c>
      <c r="CE65" s="164" t="s">
        <v>884</v>
      </c>
      <c r="CL65" s="164" t="s">
        <v>117</v>
      </c>
      <c r="CM65" s="164" t="s">
        <v>884</v>
      </c>
      <c r="CT65" s="164" t="s">
        <v>117</v>
      </c>
      <c r="CU65" s="164" t="s">
        <v>884</v>
      </c>
      <c r="CX65" s="164" t="s">
        <v>117</v>
      </c>
      <c r="CY65" s="164" t="s">
        <v>884</v>
      </c>
      <c r="DN65" s="170" t="s">
        <v>117</v>
      </c>
      <c r="DO65" s="164" t="s">
        <v>884</v>
      </c>
    </row>
    <row r="66" spans="6:119" x14ac:dyDescent="0.2">
      <c r="F66" s="15" t="s">
        <v>889</v>
      </c>
      <c r="G66" s="15" t="s">
        <v>434</v>
      </c>
      <c r="H66" s="51"/>
      <c r="I66" s="51"/>
      <c r="N66" s="15">
        <v>625</v>
      </c>
      <c r="O66" s="15">
        <v>-2.2799999999999998</v>
      </c>
      <c r="R66" s="164" t="s">
        <v>902</v>
      </c>
      <c r="S66" s="164" t="s">
        <v>434</v>
      </c>
      <c r="V66" s="164" t="s">
        <v>904</v>
      </c>
      <c r="W66" s="164">
        <v>-1.54</v>
      </c>
      <c r="AH66" s="164">
        <v>465</v>
      </c>
      <c r="AI66" s="164">
        <v>-2.27</v>
      </c>
      <c r="AL66" s="15" t="s">
        <v>911</v>
      </c>
      <c r="AM66" s="15">
        <v>-1.62</v>
      </c>
      <c r="AP66" s="164">
        <v>356</v>
      </c>
      <c r="AQ66" s="164">
        <v>-4.1100000000000003</v>
      </c>
      <c r="AT66" s="164">
        <v>365</v>
      </c>
      <c r="AU66" s="164">
        <v>-2.2200000000000002</v>
      </c>
      <c r="BF66" s="164" t="s">
        <v>907</v>
      </c>
      <c r="BG66" s="164">
        <v>-1.98</v>
      </c>
      <c r="BN66" s="164">
        <v>650</v>
      </c>
      <c r="BO66" s="164">
        <v>-4.1100000000000003</v>
      </c>
      <c r="BV66" s="15">
        <v>645</v>
      </c>
      <c r="BW66" s="15">
        <v>-2.2200000000000002</v>
      </c>
      <c r="BZ66" s="164" t="s">
        <v>933</v>
      </c>
      <c r="CA66" s="164">
        <v>-1.98</v>
      </c>
      <c r="CD66" s="164">
        <v>456</v>
      </c>
      <c r="CE66" s="164">
        <v>-1.28</v>
      </c>
      <c r="CL66" s="164" t="s">
        <v>938</v>
      </c>
      <c r="CM66" s="164">
        <v>-1.7</v>
      </c>
      <c r="CT66" s="164">
        <v>650</v>
      </c>
      <c r="CU66" s="164">
        <v>-1.28</v>
      </c>
      <c r="CX66" s="164" t="s">
        <v>930</v>
      </c>
      <c r="CY66" s="164">
        <v>-1.7</v>
      </c>
      <c r="DN66" s="164" t="s">
        <v>160</v>
      </c>
      <c r="DO66" s="164" t="s">
        <v>885</v>
      </c>
    </row>
    <row r="67" spans="6:119" x14ac:dyDescent="0.2">
      <c r="F67" s="15" t="s">
        <v>125</v>
      </c>
      <c r="G67" s="15" t="s">
        <v>520</v>
      </c>
      <c r="H67" s="51"/>
      <c r="I67" s="51"/>
      <c r="N67" s="164" t="s">
        <v>125</v>
      </c>
      <c r="O67" s="164" t="s">
        <v>520</v>
      </c>
      <c r="R67" s="164">
        <v>340</v>
      </c>
      <c r="S67" s="164" t="s">
        <v>520</v>
      </c>
      <c r="V67" s="164">
        <v>340</v>
      </c>
      <c r="W67" s="164" t="s">
        <v>520</v>
      </c>
      <c r="AH67" s="164">
        <v>340</v>
      </c>
      <c r="AI67" s="164" t="s">
        <v>520</v>
      </c>
      <c r="AL67" s="164">
        <v>340</v>
      </c>
      <c r="AM67" s="164" t="s">
        <v>520</v>
      </c>
      <c r="AP67" s="164">
        <v>340</v>
      </c>
      <c r="AQ67" s="164" t="s">
        <v>520</v>
      </c>
      <c r="AT67" s="164">
        <v>340</v>
      </c>
      <c r="AU67" s="164" t="s">
        <v>520</v>
      </c>
      <c r="BF67" s="164">
        <v>340</v>
      </c>
      <c r="BG67" s="164" t="s">
        <v>520</v>
      </c>
      <c r="BN67" s="164">
        <v>340</v>
      </c>
      <c r="BO67" s="164" t="s">
        <v>520</v>
      </c>
      <c r="BV67" s="164">
        <v>340</v>
      </c>
      <c r="BW67" s="164" t="s">
        <v>520</v>
      </c>
      <c r="BZ67" s="164">
        <v>340</v>
      </c>
      <c r="CA67" s="164" t="s">
        <v>520</v>
      </c>
      <c r="CD67" s="164">
        <v>340</v>
      </c>
      <c r="CE67" s="164" t="s">
        <v>520</v>
      </c>
      <c r="CL67" s="164">
        <v>340</v>
      </c>
      <c r="CM67" s="164" t="s">
        <v>520</v>
      </c>
      <c r="CT67" s="164">
        <v>340</v>
      </c>
      <c r="CU67" s="164" t="s">
        <v>520</v>
      </c>
      <c r="CX67" s="164">
        <v>340</v>
      </c>
      <c r="CY67" s="166" t="s">
        <v>520</v>
      </c>
      <c r="DN67" s="164" t="s">
        <v>961</v>
      </c>
      <c r="DO67" s="164" t="s">
        <v>962</v>
      </c>
    </row>
    <row r="68" spans="6:119" x14ac:dyDescent="0.2">
      <c r="F68" s="15" t="s">
        <v>485</v>
      </c>
      <c r="G68" s="15" t="s">
        <v>887</v>
      </c>
      <c r="H68" s="51"/>
      <c r="I68" s="51"/>
      <c r="N68" s="15" t="s">
        <v>485</v>
      </c>
      <c r="O68" s="15" t="s">
        <v>887</v>
      </c>
      <c r="R68" s="164" t="s">
        <v>485</v>
      </c>
      <c r="S68" s="164" t="s">
        <v>887</v>
      </c>
      <c r="V68" s="164" t="s">
        <v>485</v>
      </c>
      <c r="W68" s="164" t="s">
        <v>887</v>
      </c>
      <c r="AH68" s="164" t="s">
        <v>485</v>
      </c>
      <c r="AI68" s="164" t="s">
        <v>887</v>
      </c>
      <c r="AL68" s="15" t="s">
        <v>485</v>
      </c>
      <c r="AM68" s="15" t="s">
        <v>887</v>
      </c>
      <c r="AP68" s="164" t="s">
        <v>485</v>
      </c>
      <c r="AQ68" s="164" t="s">
        <v>887</v>
      </c>
      <c r="AT68" s="164" t="s">
        <v>485</v>
      </c>
      <c r="AU68" s="164" t="s">
        <v>887</v>
      </c>
      <c r="BF68" s="164" t="s">
        <v>485</v>
      </c>
      <c r="BG68" s="164" t="s">
        <v>887</v>
      </c>
      <c r="BN68" s="164" t="s">
        <v>485</v>
      </c>
      <c r="BO68" s="164" t="s">
        <v>887</v>
      </c>
      <c r="BV68" s="15" t="s">
        <v>485</v>
      </c>
      <c r="BW68" s="15" t="s">
        <v>887</v>
      </c>
      <c r="BZ68" s="164" t="s">
        <v>485</v>
      </c>
      <c r="CA68" s="164" t="s">
        <v>887</v>
      </c>
      <c r="CD68" s="164" t="s">
        <v>485</v>
      </c>
      <c r="CE68" s="164" t="s">
        <v>887</v>
      </c>
      <c r="CL68" s="164" t="s">
        <v>485</v>
      </c>
      <c r="CM68" s="164" t="s">
        <v>887</v>
      </c>
      <c r="CT68" s="164" t="s">
        <v>485</v>
      </c>
      <c r="CU68" s="164" t="s">
        <v>887</v>
      </c>
      <c r="CX68" s="164" t="s">
        <v>485</v>
      </c>
      <c r="CY68" s="164" t="s">
        <v>887</v>
      </c>
      <c r="DN68" s="170">
        <v>643</v>
      </c>
      <c r="DO68" s="170">
        <v>-2.2400000000000002</v>
      </c>
    </row>
    <row r="69" spans="6:119" x14ac:dyDescent="0.2">
      <c r="F69" s="10" t="s">
        <v>864</v>
      </c>
      <c r="G69" s="15" t="s">
        <v>158</v>
      </c>
      <c r="H69" s="51"/>
      <c r="I69" s="51"/>
      <c r="N69" s="10" t="s">
        <v>864</v>
      </c>
      <c r="O69" s="15" t="s">
        <v>158</v>
      </c>
      <c r="R69" s="165" t="s">
        <v>864</v>
      </c>
      <c r="S69" s="164" t="s">
        <v>158</v>
      </c>
      <c r="V69" s="165" t="s">
        <v>864</v>
      </c>
      <c r="W69" s="164" t="s">
        <v>158</v>
      </c>
      <c r="AH69" s="165" t="s">
        <v>864</v>
      </c>
      <c r="AI69" s="164" t="s">
        <v>158</v>
      </c>
      <c r="AL69" s="10" t="s">
        <v>864</v>
      </c>
      <c r="AM69" s="15" t="s">
        <v>158</v>
      </c>
      <c r="AP69" s="165" t="s">
        <v>864</v>
      </c>
      <c r="AQ69" s="164" t="s">
        <v>158</v>
      </c>
      <c r="AT69" s="165" t="s">
        <v>864</v>
      </c>
      <c r="AU69" s="164" t="s">
        <v>158</v>
      </c>
      <c r="BF69" s="165" t="s">
        <v>864</v>
      </c>
      <c r="BG69" s="164" t="s">
        <v>158</v>
      </c>
      <c r="BN69" s="165" t="s">
        <v>864</v>
      </c>
      <c r="BO69" s="164" t="s">
        <v>158</v>
      </c>
      <c r="BV69" s="10" t="s">
        <v>864</v>
      </c>
      <c r="BW69" s="15" t="s">
        <v>158</v>
      </c>
      <c r="BZ69" s="165" t="s">
        <v>864</v>
      </c>
      <c r="CA69" s="164" t="s">
        <v>158</v>
      </c>
      <c r="CD69" s="165" t="s">
        <v>864</v>
      </c>
      <c r="CE69" s="164" t="s">
        <v>158</v>
      </c>
      <c r="CL69" s="165" t="s">
        <v>864</v>
      </c>
      <c r="CM69" s="164" t="s">
        <v>158</v>
      </c>
      <c r="CT69" s="165" t="s">
        <v>864</v>
      </c>
      <c r="CU69" s="164" t="s">
        <v>158</v>
      </c>
      <c r="CX69" s="165" t="s">
        <v>864</v>
      </c>
      <c r="CY69" s="164" t="s">
        <v>158</v>
      </c>
      <c r="DN69" s="165" t="s">
        <v>864</v>
      </c>
      <c r="DO69" s="164" t="s">
        <v>158</v>
      </c>
    </row>
    <row r="70" spans="6:119" x14ac:dyDescent="0.2">
      <c r="F70" s="10" t="s">
        <v>864</v>
      </c>
      <c r="G70" s="15" t="s">
        <v>914</v>
      </c>
      <c r="H70" s="51"/>
      <c r="I70" s="51"/>
      <c r="N70" s="10" t="s">
        <v>864</v>
      </c>
      <c r="O70" s="15" t="s">
        <v>915</v>
      </c>
      <c r="R70" s="165" t="s">
        <v>864</v>
      </c>
      <c r="S70" s="164" t="s">
        <v>901</v>
      </c>
      <c r="V70" s="165" t="s">
        <v>864</v>
      </c>
      <c r="W70" s="164" t="s">
        <v>901</v>
      </c>
      <c r="AH70" s="165" t="s">
        <v>864</v>
      </c>
      <c r="AI70" s="164" t="s">
        <v>901</v>
      </c>
      <c r="AL70" s="10" t="s">
        <v>864</v>
      </c>
      <c r="AM70" s="15" t="s">
        <v>901</v>
      </c>
      <c r="AP70" s="165" t="s">
        <v>864</v>
      </c>
      <c r="AQ70" s="164" t="s">
        <v>914</v>
      </c>
      <c r="AT70" s="165" t="s">
        <v>864</v>
      </c>
      <c r="AU70" s="164" t="s">
        <v>915</v>
      </c>
      <c r="BF70" s="165" t="s">
        <v>864</v>
      </c>
      <c r="BG70" s="164" t="s">
        <v>915</v>
      </c>
      <c r="BN70" s="165" t="s">
        <v>864</v>
      </c>
      <c r="BO70" s="164" t="s">
        <v>927</v>
      </c>
      <c r="BV70" s="10" t="s">
        <v>864</v>
      </c>
      <c r="BW70" s="15" t="s">
        <v>927</v>
      </c>
      <c r="BZ70" s="165" t="s">
        <v>864</v>
      </c>
      <c r="CA70" s="164" t="s">
        <v>927</v>
      </c>
      <c r="CD70" s="165" t="s">
        <v>864</v>
      </c>
      <c r="CE70" s="164" t="s">
        <v>914</v>
      </c>
      <c r="CL70" s="165" t="s">
        <v>864</v>
      </c>
      <c r="CM70" s="164" t="s">
        <v>914</v>
      </c>
      <c r="CT70" s="165" t="s">
        <v>864</v>
      </c>
      <c r="CU70" s="164" t="s">
        <v>915</v>
      </c>
      <c r="CX70" s="165" t="s">
        <v>864</v>
      </c>
      <c r="CY70" s="164" t="s">
        <v>915</v>
      </c>
      <c r="DN70" s="165" t="s">
        <v>864</v>
      </c>
      <c r="DO70" s="164" t="s">
        <v>925</v>
      </c>
    </row>
    <row r="71" spans="6:119" x14ac:dyDescent="0.2">
      <c r="DN71" s="39"/>
      <c r="DO71" s="39"/>
    </row>
    <row r="72" spans="6:119" x14ac:dyDescent="0.2">
      <c r="F72" s="25" t="s">
        <v>117</v>
      </c>
      <c r="G72" s="25" t="s">
        <v>884</v>
      </c>
      <c r="N72" s="15" t="s">
        <v>117</v>
      </c>
      <c r="O72" s="15" t="s">
        <v>884</v>
      </c>
      <c r="DN72" s="170" t="s">
        <v>117</v>
      </c>
      <c r="DO72" s="164" t="s">
        <v>884</v>
      </c>
    </row>
    <row r="73" spans="6:119" x14ac:dyDescent="0.2">
      <c r="F73" s="25" t="s">
        <v>891</v>
      </c>
      <c r="G73" s="25">
        <v>-1.54</v>
      </c>
      <c r="N73" s="15" t="s">
        <v>897</v>
      </c>
      <c r="O73" s="15">
        <v>-1.62</v>
      </c>
      <c r="DN73" s="164" t="s">
        <v>421</v>
      </c>
      <c r="DO73" s="164" t="s">
        <v>886</v>
      </c>
    </row>
    <row r="74" spans="6:119" x14ac:dyDescent="0.2">
      <c r="F74" s="25" t="s">
        <v>160</v>
      </c>
      <c r="G74" s="25" t="s">
        <v>885</v>
      </c>
      <c r="N74" s="15" t="s">
        <v>160</v>
      </c>
      <c r="O74" s="15" t="s">
        <v>885</v>
      </c>
      <c r="DN74" s="164" t="s">
        <v>485</v>
      </c>
      <c r="DO74" s="164" t="s">
        <v>887</v>
      </c>
    </row>
    <row r="75" spans="6:119" x14ac:dyDescent="0.2">
      <c r="F75" s="25" t="s">
        <v>421</v>
      </c>
      <c r="G75" s="25" t="s">
        <v>886</v>
      </c>
      <c r="N75" s="15" t="s">
        <v>421</v>
      </c>
      <c r="O75" s="15" t="s">
        <v>886</v>
      </c>
      <c r="DN75" s="164" t="s">
        <v>961</v>
      </c>
      <c r="DO75" s="164" t="s">
        <v>962</v>
      </c>
    </row>
    <row r="76" spans="6:119" x14ac:dyDescent="0.2">
      <c r="F76" s="87" t="s">
        <v>864</v>
      </c>
      <c r="G76" s="25" t="s">
        <v>158</v>
      </c>
      <c r="N76" s="10" t="s">
        <v>864</v>
      </c>
      <c r="O76" s="15" t="s">
        <v>158</v>
      </c>
      <c r="DN76" s="165" t="s">
        <v>864</v>
      </c>
      <c r="DO76" s="164" t="s">
        <v>158</v>
      </c>
    </row>
    <row r="77" spans="6:119" x14ac:dyDescent="0.2">
      <c r="F77" s="87" t="s">
        <v>864</v>
      </c>
      <c r="G77" s="25" t="s">
        <v>914</v>
      </c>
      <c r="N77" s="10" t="s">
        <v>864</v>
      </c>
      <c r="O77" s="15" t="s">
        <v>915</v>
      </c>
      <c r="DN77" s="165" t="s">
        <v>864</v>
      </c>
      <c r="DO77" s="164" t="s">
        <v>925</v>
      </c>
    </row>
    <row r="78" spans="6:119" x14ac:dyDescent="0.2">
      <c r="DN78" s="39"/>
      <c r="DO78" s="39"/>
    </row>
    <row r="79" spans="6:119" x14ac:dyDescent="0.2">
      <c r="F79" s="25" t="s">
        <v>117</v>
      </c>
      <c r="G79" s="25" t="s">
        <v>884</v>
      </c>
      <c r="N79" s="15" t="s">
        <v>117</v>
      </c>
      <c r="O79" s="15" t="s">
        <v>884</v>
      </c>
      <c r="DN79" s="175" t="s">
        <v>117</v>
      </c>
      <c r="DO79" s="173" t="s">
        <v>884</v>
      </c>
    </row>
    <row r="80" spans="6:119" x14ac:dyDescent="0.2">
      <c r="F80" s="25" t="s">
        <v>891</v>
      </c>
      <c r="G80" s="25">
        <v>-1.54</v>
      </c>
      <c r="N80" s="15" t="s">
        <v>897</v>
      </c>
      <c r="O80" s="15">
        <v>-1.62</v>
      </c>
      <c r="DN80" s="173" t="s">
        <v>421</v>
      </c>
      <c r="DO80" s="173" t="s">
        <v>886</v>
      </c>
    </row>
    <row r="81" spans="6:122" x14ac:dyDescent="0.2">
      <c r="F81" s="25" t="s">
        <v>160</v>
      </c>
      <c r="G81" s="25" t="s">
        <v>885</v>
      </c>
      <c r="N81" s="15" t="s">
        <v>160</v>
      </c>
      <c r="O81" s="15" t="s">
        <v>885</v>
      </c>
      <c r="DN81" s="173" t="s">
        <v>485</v>
      </c>
      <c r="DO81" s="173" t="s">
        <v>887</v>
      </c>
    </row>
    <row r="82" spans="6:122" x14ac:dyDescent="0.2">
      <c r="F82" s="25" t="s">
        <v>125</v>
      </c>
      <c r="G82" s="25" t="s">
        <v>520</v>
      </c>
      <c r="N82" s="164" t="s">
        <v>125</v>
      </c>
      <c r="O82" s="164" t="s">
        <v>520</v>
      </c>
      <c r="DN82" s="175">
        <v>643</v>
      </c>
      <c r="DO82" s="175">
        <v>-2.2400000000000002</v>
      </c>
    </row>
    <row r="83" spans="6:122" x14ac:dyDescent="0.2">
      <c r="F83" s="87" t="s">
        <v>864</v>
      </c>
      <c r="G83" s="25" t="s">
        <v>158</v>
      </c>
      <c r="N83" s="10" t="s">
        <v>864</v>
      </c>
      <c r="O83" s="15" t="s">
        <v>158</v>
      </c>
      <c r="DN83" s="174" t="s">
        <v>864</v>
      </c>
      <c r="DO83" s="173" t="s">
        <v>158</v>
      </c>
    </row>
    <row r="84" spans="6:122" x14ac:dyDescent="0.2">
      <c r="F84" s="87" t="s">
        <v>864</v>
      </c>
      <c r="G84" s="25" t="s">
        <v>914</v>
      </c>
      <c r="N84" s="10" t="s">
        <v>864</v>
      </c>
      <c r="O84" s="15" t="s">
        <v>915</v>
      </c>
      <c r="DN84" s="174" t="s">
        <v>864</v>
      </c>
      <c r="DO84" s="173" t="s">
        <v>925</v>
      </c>
    </row>
    <row r="85" spans="6:122" x14ac:dyDescent="0.2">
      <c r="DN85" s="39"/>
      <c r="DO85" s="39"/>
    </row>
    <row r="86" spans="6:122" x14ac:dyDescent="0.2">
      <c r="F86" s="25" t="s">
        <v>117</v>
      </c>
      <c r="G86" s="25" t="s">
        <v>884</v>
      </c>
      <c r="N86" s="15" t="s">
        <v>117</v>
      </c>
      <c r="O86" s="15" t="s">
        <v>884</v>
      </c>
      <c r="DN86" s="170" t="s">
        <v>117</v>
      </c>
      <c r="DO86" s="164" t="s">
        <v>884</v>
      </c>
    </row>
    <row r="87" spans="6:122" x14ac:dyDescent="0.2">
      <c r="F87" s="25" t="s">
        <v>891</v>
      </c>
      <c r="G87" s="25">
        <v>-1.54</v>
      </c>
      <c r="N87" s="15" t="s">
        <v>897</v>
      </c>
      <c r="O87" s="15">
        <v>-1.62</v>
      </c>
      <c r="DN87" s="164" t="s">
        <v>421</v>
      </c>
      <c r="DO87" s="164" t="s">
        <v>886</v>
      </c>
    </row>
    <row r="88" spans="6:122" x14ac:dyDescent="0.2">
      <c r="F88" s="25" t="s">
        <v>160</v>
      </c>
      <c r="G88" s="25" t="s">
        <v>885</v>
      </c>
      <c r="N88" s="15" t="s">
        <v>160</v>
      </c>
      <c r="O88" s="15" t="s">
        <v>885</v>
      </c>
      <c r="DN88" s="164" t="s">
        <v>961</v>
      </c>
      <c r="DO88" s="164" t="s">
        <v>962</v>
      </c>
    </row>
    <row r="89" spans="6:122" x14ac:dyDescent="0.2">
      <c r="F89" s="25" t="s">
        <v>485</v>
      </c>
      <c r="G89" s="25" t="s">
        <v>887</v>
      </c>
      <c r="N89" s="15" t="s">
        <v>485</v>
      </c>
      <c r="O89" s="15" t="s">
        <v>887</v>
      </c>
      <c r="DN89" s="170">
        <v>643</v>
      </c>
      <c r="DO89" s="170">
        <v>-2.2400000000000002</v>
      </c>
    </row>
    <row r="90" spans="6:122" x14ac:dyDescent="0.2">
      <c r="F90" s="87" t="s">
        <v>864</v>
      </c>
      <c r="G90" s="25" t="s">
        <v>158</v>
      </c>
      <c r="N90" s="10" t="s">
        <v>864</v>
      </c>
      <c r="O90" s="15" t="s">
        <v>158</v>
      </c>
      <c r="DN90" s="165" t="s">
        <v>864</v>
      </c>
      <c r="DO90" s="164" t="s">
        <v>158</v>
      </c>
    </row>
    <row r="91" spans="6:122" x14ac:dyDescent="0.2">
      <c r="F91" s="87" t="s">
        <v>864</v>
      </c>
      <c r="G91" s="25" t="s">
        <v>914</v>
      </c>
      <c r="N91" s="10" t="s">
        <v>864</v>
      </c>
      <c r="O91" s="15" t="s">
        <v>915</v>
      </c>
      <c r="DN91" s="165" t="s">
        <v>864</v>
      </c>
      <c r="DO91" s="164" t="s">
        <v>925</v>
      </c>
    </row>
    <row r="92" spans="6:122" x14ac:dyDescent="0.2">
      <c r="DN92" s="39"/>
      <c r="DO92" s="39"/>
    </row>
    <row r="93" spans="6:122" x14ac:dyDescent="0.2">
      <c r="F93" s="25" t="s">
        <v>117</v>
      </c>
      <c r="G93" s="25" t="s">
        <v>884</v>
      </c>
      <c r="N93" s="15" t="s">
        <v>117</v>
      </c>
      <c r="O93" s="15" t="s">
        <v>884</v>
      </c>
      <c r="DN93" s="175" t="s">
        <v>117</v>
      </c>
      <c r="DO93" s="173" t="s">
        <v>884</v>
      </c>
    </row>
    <row r="94" spans="6:122" x14ac:dyDescent="0.2">
      <c r="F94" s="25" t="s">
        <v>891</v>
      </c>
      <c r="G94" s="25">
        <v>-1.54</v>
      </c>
      <c r="N94" s="15" t="s">
        <v>897</v>
      </c>
      <c r="O94" s="15">
        <v>-1.62</v>
      </c>
      <c r="DN94" s="173" t="s">
        <v>485</v>
      </c>
      <c r="DO94" s="173" t="s">
        <v>887</v>
      </c>
    </row>
    <row r="95" spans="6:122" x14ac:dyDescent="0.2">
      <c r="F95" s="25" t="s">
        <v>421</v>
      </c>
      <c r="G95" s="25" t="s">
        <v>886</v>
      </c>
      <c r="N95" s="15" t="s">
        <v>421</v>
      </c>
      <c r="O95" s="15" t="s">
        <v>886</v>
      </c>
      <c r="DN95" s="173" t="s">
        <v>961</v>
      </c>
      <c r="DO95" s="173" t="s">
        <v>962</v>
      </c>
      <c r="DQ95" s="214" t="s">
        <v>969</v>
      </c>
      <c r="DR95" s="215"/>
    </row>
    <row r="96" spans="6:122" x14ac:dyDescent="0.2">
      <c r="F96" s="25" t="s">
        <v>125</v>
      </c>
      <c r="G96" s="25" t="s">
        <v>520</v>
      </c>
      <c r="N96" s="164" t="s">
        <v>125</v>
      </c>
      <c r="O96" s="164" t="s">
        <v>520</v>
      </c>
      <c r="DN96" s="175">
        <v>643</v>
      </c>
      <c r="DO96" s="175">
        <v>-2.2400000000000002</v>
      </c>
    </row>
    <row r="97" spans="6:119" x14ac:dyDescent="0.2">
      <c r="F97" s="87" t="s">
        <v>864</v>
      </c>
      <c r="G97" s="25" t="s">
        <v>158</v>
      </c>
      <c r="N97" s="10" t="s">
        <v>864</v>
      </c>
      <c r="O97" s="15" t="s">
        <v>158</v>
      </c>
      <c r="DN97" s="174" t="s">
        <v>864</v>
      </c>
      <c r="DO97" s="173" t="s">
        <v>158</v>
      </c>
    </row>
    <row r="98" spans="6:119" x14ac:dyDescent="0.2">
      <c r="F98" s="87" t="s">
        <v>864</v>
      </c>
      <c r="G98" s="25" t="s">
        <v>914</v>
      </c>
      <c r="N98" s="10" t="s">
        <v>864</v>
      </c>
      <c r="O98" s="15" t="s">
        <v>915</v>
      </c>
      <c r="DN98" s="174" t="s">
        <v>864</v>
      </c>
      <c r="DO98" s="173" t="s">
        <v>925</v>
      </c>
    </row>
    <row r="99" spans="6:119" x14ac:dyDescent="0.2">
      <c r="F99" s="39"/>
      <c r="G99" s="39"/>
      <c r="N99" s="39"/>
      <c r="O99" s="39"/>
    </row>
    <row r="100" spans="6:119" x14ac:dyDescent="0.2">
      <c r="F100" s="25" t="s">
        <v>117</v>
      </c>
      <c r="G100" s="25" t="s">
        <v>884</v>
      </c>
      <c r="N100" s="15" t="s">
        <v>117</v>
      </c>
      <c r="O100" s="15" t="s">
        <v>884</v>
      </c>
    </row>
    <row r="101" spans="6:119" x14ac:dyDescent="0.2">
      <c r="F101" s="25" t="s">
        <v>891</v>
      </c>
      <c r="G101" s="25">
        <v>-1.54</v>
      </c>
      <c r="N101" s="15" t="s">
        <v>897</v>
      </c>
      <c r="O101" s="15">
        <v>-1.62</v>
      </c>
    </row>
    <row r="102" spans="6:119" x14ac:dyDescent="0.2">
      <c r="F102" s="25" t="s">
        <v>421</v>
      </c>
      <c r="G102" s="25" t="s">
        <v>886</v>
      </c>
      <c r="N102" s="15" t="s">
        <v>421</v>
      </c>
      <c r="O102" s="15" t="s">
        <v>886</v>
      </c>
    </row>
    <row r="103" spans="6:119" x14ac:dyDescent="0.2">
      <c r="F103" s="25" t="s">
        <v>485</v>
      </c>
      <c r="G103" s="25" t="s">
        <v>887</v>
      </c>
      <c r="N103" s="15" t="s">
        <v>485</v>
      </c>
      <c r="O103" s="15" t="s">
        <v>887</v>
      </c>
    </row>
    <row r="104" spans="6:119" x14ac:dyDescent="0.2">
      <c r="F104" s="87" t="s">
        <v>864</v>
      </c>
      <c r="G104" s="25" t="s">
        <v>158</v>
      </c>
      <c r="N104" s="10" t="s">
        <v>864</v>
      </c>
      <c r="O104" s="15" t="s">
        <v>158</v>
      </c>
    </row>
    <row r="105" spans="6:119" x14ac:dyDescent="0.2">
      <c r="F105" s="87" t="s">
        <v>864</v>
      </c>
      <c r="G105" s="25" t="s">
        <v>914</v>
      </c>
      <c r="N105" s="10" t="s">
        <v>864</v>
      </c>
      <c r="O105" s="15" t="s">
        <v>915</v>
      </c>
    </row>
    <row r="107" spans="6:119" x14ac:dyDescent="0.2">
      <c r="F107" s="25" t="s">
        <v>117</v>
      </c>
      <c r="G107" s="25" t="s">
        <v>884</v>
      </c>
      <c r="N107" s="15" t="s">
        <v>117</v>
      </c>
      <c r="O107" s="15" t="s">
        <v>884</v>
      </c>
    </row>
    <row r="108" spans="6:119" x14ac:dyDescent="0.2">
      <c r="F108" s="25" t="s">
        <v>891</v>
      </c>
      <c r="G108" s="25">
        <v>-1.54</v>
      </c>
      <c r="N108" s="15" t="s">
        <v>897</v>
      </c>
      <c r="O108" s="15">
        <v>-1.62</v>
      </c>
    </row>
    <row r="109" spans="6:119" x14ac:dyDescent="0.2">
      <c r="F109" s="25" t="s">
        <v>125</v>
      </c>
      <c r="G109" s="25" t="s">
        <v>520</v>
      </c>
      <c r="N109" s="164" t="s">
        <v>125</v>
      </c>
      <c r="O109" s="164" t="s">
        <v>520</v>
      </c>
    </row>
    <row r="110" spans="6:119" x14ac:dyDescent="0.2">
      <c r="F110" s="25" t="s">
        <v>485</v>
      </c>
      <c r="G110" s="25" t="s">
        <v>887</v>
      </c>
      <c r="N110" s="15" t="s">
        <v>485</v>
      </c>
      <c r="O110" s="15" t="s">
        <v>887</v>
      </c>
    </row>
    <row r="111" spans="6:119" x14ac:dyDescent="0.2">
      <c r="F111" s="87" t="s">
        <v>864</v>
      </c>
      <c r="G111" s="25" t="s">
        <v>158</v>
      </c>
      <c r="N111" s="10" t="s">
        <v>864</v>
      </c>
      <c r="O111" s="15" t="s">
        <v>158</v>
      </c>
    </row>
    <row r="112" spans="6:119" x14ac:dyDescent="0.2">
      <c r="F112" s="87" t="s">
        <v>864</v>
      </c>
      <c r="G112" s="25" t="s">
        <v>914</v>
      </c>
      <c r="N112" s="10" t="s">
        <v>864</v>
      </c>
      <c r="O112" s="15" t="s">
        <v>915</v>
      </c>
    </row>
    <row r="114" spans="6:15" x14ac:dyDescent="0.2">
      <c r="F114" s="25">
        <v>652</v>
      </c>
      <c r="G114" s="25" t="s">
        <v>434</v>
      </c>
      <c r="N114" s="15">
        <v>625</v>
      </c>
      <c r="O114" s="15">
        <v>-2.2799999999999998</v>
      </c>
    </row>
    <row r="115" spans="6:15" x14ac:dyDescent="0.2">
      <c r="F115" s="25" t="s">
        <v>891</v>
      </c>
      <c r="G115" s="25">
        <v>-1.54</v>
      </c>
      <c r="N115" s="15" t="s">
        <v>897</v>
      </c>
      <c r="O115" s="15">
        <v>-1.62</v>
      </c>
    </row>
    <row r="116" spans="6:15" x14ac:dyDescent="0.2">
      <c r="F116" s="25" t="s">
        <v>160</v>
      </c>
      <c r="G116" s="25" t="s">
        <v>885</v>
      </c>
      <c r="N116" s="15" t="s">
        <v>160</v>
      </c>
      <c r="O116" s="15" t="s">
        <v>885</v>
      </c>
    </row>
    <row r="117" spans="6:15" x14ac:dyDescent="0.2">
      <c r="F117" s="25" t="s">
        <v>421</v>
      </c>
      <c r="G117" s="25" t="s">
        <v>886</v>
      </c>
      <c r="N117" s="15" t="s">
        <v>421</v>
      </c>
      <c r="O117" s="15" t="s">
        <v>886</v>
      </c>
    </row>
    <row r="118" spans="6:15" x14ac:dyDescent="0.2">
      <c r="F118" s="87" t="s">
        <v>864</v>
      </c>
      <c r="G118" s="25" t="s">
        <v>158</v>
      </c>
      <c r="N118" s="10" t="s">
        <v>864</v>
      </c>
      <c r="O118" s="15" t="s">
        <v>158</v>
      </c>
    </row>
    <row r="119" spans="6:15" x14ac:dyDescent="0.2">
      <c r="F119" s="87" t="s">
        <v>864</v>
      </c>
      <c r="G119" s="25" t="s">
        <v>914</v>
      </c>
      <c r="N119" s="10" t="s">
        <v>864</v>
      </c>
      <c r="O119" s="15" t="s">
        <v>915</v>
      </c>
    </row>
    <row r="121" spans="6:15" x14ac:dyDescent="0.2">
      <c r="F121" s="25">
        <v>652</v>
      </c>
      <c r="G121" s="25" t="s">
        <v>434</v>
      </c>
      <c r="N121" s="15">
        <v>625</v>
      </c>
      <c r="O121" s="15">
        <v>-2.2799999999999998</v>
      </c>
    </row>
    <row r="122" spans="6:15" x14ac:dyDescent="0.2">
      <c r="F122" s="25" t="s">
        <v>891</v>
      </c>
      <c r="G122" s="25">
        <v>-1.54</v>
      </c>
      <c r="N122" s="15" t="s">
        <v>897</v>
      </c>
      <c r="O122" s="15">
        <v>-1.62</v>
      </c>
    </row>
    <row r="123" spans="6:15" x14ac:dyDescent="0.2">
      <c r="F123" s="25" t="s">
        <v>160</v>
      </c>
      <c r="G123" s="25" t="s">
        <v>885</v>
      </c>
      <c r="N123" s="15" t="s">
        <v>160</v>
      </c>
      <c r="O123" s="15" t="s">
        <v>885</v>
      </c>
    </row>
    <row r="124" spans="6:15" x14ac:dyDescent="0.2">
      <c r="F124" s="25" t="s">
        <v>125</v>
      </c>
      <c r="G124" s="25" t="s">
        <v>520</v>
      </c>
      <c r="N124" s="164" t="s">
        <v>125</v>
      </c>
      <c r="O124" s="164" t="s">
        <v>520</v>
      </c>
    </row>
    <row r="125" spans="6:15" x14ac:dyDescent="0.2">
      <c r="F125" s="87" t="s">
        <v>864</v>
      </c>
      <c r="G125" s="25" t="s">
        <v>158</v>
      </c>
      <c r="N125" s="10" t="s">
        <v>864</v>
      </c>
      <c r="O125" s="15" t="s">
        <v>158</v>
      </c>
    </row>
    <row r="126" spans="6:15" x14ac:dyDescent="0.2">
      <c r="F126" s="87" t="s">
        <v>864</v>
      </c>
      <c r="G126" s="25" t="s">
        <v>914</v>
      </c>
      <c r="N126" s="10" t="s">
        <v>864</v>
      </c>
      <c r="O126" s="15" t="s">
        <v>915</v>
      </c>
    </row>
    <row r="128" spans="6:15" x14ac:dyDescent="0.2">
      <c r="F128" s="25">
        <v>652</v>
      </c>
      <c r="G128" s="25" t="s">
        <v>434</v>
      </c>
      <c r="N128" s="15">
        <v>625</v>
      </c>
      <c r="O128" s="15">
        <v>-2.2799999999999998</v>
      </c>
    </row>
    <row r="129" spans="6:15" x14ac:dyDescent="0.2">
      <c r="F129" s="25" t="s">
        <v>891</v>
      </c>
      <c r="G129" s="25">
        <v>-1.54</v>
      </c>
      <c r="N129" s="15" t="s">
        <v>897</v>
      </c>
      <c r="O129" s="15">
        <v>-1.62</v>
      </c>
    </row>
    <row r="130" spans="6:15" x14ac:dyDescent="0.2">
      <c r="F130" s="25" t="s">
        <v>160</v>
      </c>
      <c r="G130" s="25" t="s">
        <v>885</v>
      </c>
      <c r="N130" s="15" t="s">
        <v>160</v>
      </c>
      <c r="O130" s="15" t="s">
        <v>885</v>
      </c>
    </row>
    <row r="131" spans="6:15" x14ac:dyDescent="0.2">
      <c r="F131" s="25" t="s">
        <v>485</v>
      </c>
      <c r="G131" s="25" t="s">
        <v>887</v>
      </c>
      <c r="N131" s="15" t="s">
        <v>485</v>
      </c>
      <c r="O131" s="15" t="s">
        <v>887</v>
      </c>
    </row>
    <row r="132" spans="6:15" x14ac:dyDescent="0.2">
      <c r="F132" s="87" t="s">
        <v>864</v>
      </c>
      <c r="G132" s="25" t="s">
        <v>158</v>
      </c>
      <c r="N132" s="10" t="s">
        <v>864</v>
      </c>
      <c r="O132" s="15" t="s">
        <v>158</v>
      </c>
    </row>
    <row r="133" spans="6:15" x14ac:dyDescent="0.2">
      <c r="F133" s="87" t="s">
        <v>864</v>
      </c>
      <c r="G133" s="25" t="s">
        <v>914</v>
      </c>
      <c r="N133" s="10" t="s">
        <v>864</v>
      </c>
      <c r="O133" s="15" t="s">
        <v>915</v>
      </c>
    </row>
    <row r="135" spans="6:15" x14ac:dyDescent="0.2">
      <c r="F135" s="25">
        <v>652</v>
      </c>
      <c r="G135" s="25" t="s">
        <v>434</v>
      </c>
      <c r="N135" s="15">
        <v>625</v>
      </c>
      <c r="O135" s="15">
        <v>-2.2799999999999998</v>
      </c>
    </row>
    <row r="136" spans="6:15" x14ac:dyDescent="0.2">
      <c r="F136" s="25" t="s">
        <v>891</v>
      </c>
      <c r="G136" s="25">
        <v>-1.54</v>
      </c>
      <c r="N136" s="15" t="s">
        <v>897</v>
      </c>
      <c r="O136" s="15">
        <v>-1.62</v>
      </c>
    </row>
    <row r="137" spans="6:15" x14ac:dyDescent="0.2">
      <c r="F137" s="25" t="s">
        <v>421</v>
      </c>
      <c r="G137" s="25" t="s">
        <v>886</v>
      </c>
      <c r="N137" s="15" t="s">
        <v>421</v>
      </c>
      <c r="O137" s="15" t="s">
        <v>886</v>
      </c>
    </row>
    <row r="138" spans="6:15" x14ac:dyDescent="0.2">
      <c r="F138" s="25" t="s">
        <v>125</v>
      </c>
      <c r="G138" s="25" t="s">
        <v>520</v>
      </c>
      <c r="N138" s="164" t="s">
        <v>125</v>
      </c>
      <c r="O138" s="164" t="s">
        <v>520</v>
      </c>
    </row>
    <row r="139" spans="6:15" x14ac:dyDescent="0.2">
      <c r="F139" s="87" t="s">
        <v>864</v>
      </c>
      <c r="G139" s="25" t="s">
        <v>158</v>
      </c>
      <c r="N139" s="10" t="s">
        <v>864</v>
      </c>
      <c r="O139" s="15" t="s">
        <v>158</v>
      </c>
    </row>
    <row r="140" spans="6:15" x14ac:dyDescent="0.2">
      <c r="F140" s="87" t="s">
        <v>864</v>
      </c>
      <c r="G140" s="25" t="s">
        <v>914</v>
      </c>
      <c r="N140" s="10" t="s">
        <v>864</v>
      </c>
      <c r="O140" s="15" t="s">
        <v>915</v>
      </c>
    </row>
    <row r="141" spans="6:15" x14ac:dyDescent="0.2">
      <c r="F141" s="39"/>
      <c r="G141" s="39"/>
      <c r="N141" s="39"/>
      <c r="O141" s="39"/>
    </row>
    <row r="142" spans="6:15" x14ac:dyDescent="0.2">
      <c r="F142" s="25">
        <v>652</v>
      </c>
      <c r="G142" s="25" t="s">
        <v>434</v>
      </c>
      <c r="N142" s="15">
        <v>625</v>
      </c>
      <c r="O142" s="15">
        <v>-2.2799999999999998</v>
      </c>
    </row>
    <row r="143" spans="6:15" x14ac:dyDescent="0.2">
      <c r="F143" s="25" t="s">
        <v>891</v>
      </c>
      <c r="G143" s="25">
        <v>-1.54</v>
      </c>
      <c r="N143" s="15" t="s">
        <v>897</v>
      </c>
      <c r="O143" s="15">
        <v>-1.62</v>
      </c>
    </row>
    <row r="144" spans="6:15" x14ac:dyDescent="0.2">
      <c r="F144" s="25" t="s">
        <v>421</v>
      </c>
      <c r="G144" s="25" t="s">
        <v>886</v>
      </c>
      <c r="N144" s="15" t="s">
        <v>421</v>
      </c>
      <c r="O144" s="15" t="s">
        <v>886</v>
      </c>
    </row>
    <row r="145" spans="6:15" x14ac:dyDescent="0.2">
      <c r="F145" s="25" t="s">
        <v>485</v>
      </c>
      <c r="G145" s="25" t="s">
        <v>887</v>
      </c>
      <c r="N145" s="15" t="s">
        <v>485</v>
      </c>
      <c r="O145" s="15" t="s">
        <v>887</v>
      </c>
    </row>
    <row r="146" spans="6:15" x14ac:dyDescent="0.2">
      <c r="F146" s="87" t="s">
        <v>864</v>
      </c>
      <c r="G146" s="25" t="s">
        <v>158</v>
      </c>
      <c r="N146" s="10" t="s">
        <v>864</v>
      </c>
      <c r="O146" s="15" t="s">
        <v>158</v>
      </c>
    </row>
    <row r="147" spans="6:15" x14ac:dyDescent="0.2">
      <c r="F147" s="87" t="s">
        <v>864</v>
      </c>
      <c r="G147" s="25" t="s">
        <v>914</v>
      </c>
      <c r="N147" s="10" t="s">
        <v>864</v>
      </c>
      <c r="O147" s="15" t="s">
        <v>915</v>
      </c>
    </row>
    <row r="149" spans="6:15" x14ac:dyDescent="0.2">
      <c r="F149" s="25">
        <v>652</v>
      </c>
      <c r="G149" s="25" t="s">
        <v>434</v>
      </c>
      <c r="N149" s="15">
        <v>625</v>
      </c>
      <c r="O149" s="15">
        <v>-2.2799999999999998</v>
      </c>
    </row>
    <row r="150" spans="6:15" x14ac:dyDescent="0.2">
      <c r="F150" s="25" t="s">
        <v>891</v>
      </c>
      <c r="G150" s="25">
        <v>-1.54</v>
      </c>
      <c r="N150" s="15" t="s">
        <v>897</v>
      </c>
      <c r="O150" s="15">
        <v>-1.62</v>
      </c>
    </row>
    <row r="151" spans="6:15" x14ac:dyDescent="0.2">
      <c r="F151" s="25" t="s">
        <v>125</v>
      </c>
      <c r="G151" s="25" t="s">
        <v>520</v>
      </c>
      <c r="N151" s="164" t="s">
        <v>125</v>
      </c>
      <c r="O151" s="164" t="s">
        <v>520</v>
      </c>
    </row>
    <row r="152" spans="6:15" x14ac:dyDescent="0.2">
      <c r="F152" s="25" t="s">
        <v>485</v>
      </c>
      <c r="G152" s="25" t="s">
        <v>887</v>
      </c>
      <c r="N152" s="15" t="s">
        <v>485</v>
      </c>
      <c r="O152" s="15" t="s">
        <v>887</v>
      </c>
    </row>
    <row r="153" spans="6:15" x14ac:dyDescent="0.2">
      <c r="F153" s="87" t="s">
        <v>864</v>
      </c>
      <c r="G153" s="25" t="s">
        <v>158</v>
      </c>
      <c r="N153" s="10" t="s">
        <v>864</v>
      </c>
      <c r="O153" s="15" t="s">
        <v>158</v>
      </c>
    </row>
    <row r="154" spans="6:15" x14ac:dyDescent="0.2">
      <c r="F154" s="87" t="s">
        <v>864</v>
      </c>
      <c r="G154" s="25" t="s">
        <v>914</v>
      </c>
      <c r="N154" s="10" t="s">
        <v>864</v>
      </c>
      <c r="O154" s="15" t="s">
        <v>915</v>
      </c>
    </row>
  </sheetData>
  <mergeCells count="100">
    <mergeCell ref="DN8:DP8"/>
    <mergeCell ref="DN9:DP9"/>
    <mergeCell ref="DN12:DN14"/>
    <mergeCell ref="DP32:DQ32"/>
    <mergeCell ref="DQ95:DR95"/>
    <mergeCell ref="DQ60:DR60"/>
    <mergeCell ref="A15:A27"/>
    <mergeCell ref="F11:F24"/>
    <mergeCell ref="J8:L8"/>
    <mergeCell ref="J9:L9"/>
    <mergeCell ref="J11:J24"/>
    <mergeCell ref="A8:C8"/>
    <mergeCell ref="F8:H8"/>
    <mergeCell ref="F9:H9"/>
    <mergeCell ref="A11:A14"/>
    <mergeCell ref="N8:P8"/>
    <mergeCell ref="N9:P9"/>
    <mergeCell ref="N11:N24"/>
    <mergeCell ref="R8:T8"/>
    <mergeCell ref="R9:T9"/>
    <mergeCell ref="R12:R14"/>
    <mergeCell ref="V8:X8"/>
    <mergeCell ref="V9:X9"/>
    <mergeCell ref="V12:V14"/>
    <mergeCell ref="Z8:AB8"/>
    <mergeCell ref="Z9:AB9"/>
    <mergeCell ref="Z12:Z14"/>
    <mergeCell ref="AD8:AF8"/>
    <mergeCell ref="AD9:AF9"/>
    <mergeCell ref="AD12:AD14"/>
    <mergeCell ref="AH8:AJ8"/>
    <mergeCell ref="AH9:AJ9"/>
    <mergeCell ref="AH12:AH14"/>
    <mergeCell ref="AL8:AN8"/>
    <mergeCell ref="AL9:AN9"/>
    <mergeCell ref="AL12:AL14"/>
    <mergeCell ref="AP8:AR8"/>
    <mergeCell ref="AP9:AR9"/>
    <mergeCell ref="AP12:AP14"/>
    <mergeCell ref="AT8:AV8"/>
    <mergeCell ref="AT9:AV9"/>
    <mergeCell ref="AT12:AT14"/>
    <mergeCell ref="AX8:AZ8"/>
    <mergeCell ref="AX9:AZ9"/>
    <mergeCell ref="AX12:AX14"/>
    <mergeCell ref="BB8:BD8"/>
    <mergeCell ref="BB9:BD9"/>
    <mergeCell ref="BB12:BB14"/>
    <mergeCell ref="BF8:BH8"/>
    <mergeCell ref="BF9:BH9"/>
    <mergeCell ref="BF12:BF14"/>
    <mergeCell ref="BJ8:BL8"/>
    <mergeCell ref="BJ9:BL9"/>
    <mergeCell ref="BJ12:BJ14"/>
    <mergeCell ref="BN8:BP8"/>
    <mergeCell ref="BN9:BP9"/>
    <mergeCell ref="BN12:BN14"/>
    <mergeCell ref="BR8:BT8"/>
    <mergeCell ref="BR9:BT9"/>
    <mergeCell ref="BR12:BR14"/>
    <mergeCell ref="BV8:BX8"/>
    <mergeCell ref="BV9:BX9"/>
    <mergeCell ref="BV12:BV14"/>
    <mergeCell ref="BZ8:CB8"/>
    <mergeCell ref="BZ9:CB9"/>
    <mergeCell ref="BZ12:BZ14"/>
    <mergeCell ref="CD8:CF8"/>
    <mergeCell ref="CD9:CF9"/>
    <mergeCell ref="CD12:CD14"/>
    <mergeCell ref="CH8:CJ8"/>
    <mergeCell ref="CH9:CJ9"/>
    <mergeCell ref="CH12:CH14"/>
    <mergeCell ref="CL8:CN8"/>
    <mergeCell ref="CL9:CN9"/>
    <mergeCell ref="CL12:CL14"/>
    <mergeCell ref="CP8:CR8"/>
    <mergeCell ref="CP9:CR9"/>
    <mergeCell ref="CP12:CP14"/>
    <mergeCell ref="CT9:CV9"/>
    <mergeCell ref="CT12:CT14"/>
    <mergeCell ref="CT8:CV8"/>
    <mergeCell ref="CX8:CZ8"/>
    <mergeCell ref="CX9:CZ9"/>
    <mergeCell ref="CX12:CX14"/>
    <mergeCell ref="DB8:DD8"/>
    <mergeCell ref="DB9:DD9"/>
    <mergeCell ref="DB12:DB14"/>
    <mergeCell ref="DF8:DH8"/>
    <mergeCell ref="DF9:DH9"/>
    <mergeCell ref="DF12:DF14"/>
    <mergeCell ref="DJ8:DL8"/>
    <mergeCell ref="DJ9:DL9"/>
    <mergeCell ref="DJ12:DJ14"/>
    <mergeCell ref="P30:Q30"/>
    <mergeCell ref="H58:I58"/>
    <mergeCell ref="H65:I65"/>
    <mergeCell ref="H30:I30"/>
    <mergeCell ref="H37:I37"/>
    <mergeCell ref="H51:I51"/>
    <mergeCell ref="H44:I44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C24" sqref="C24"/>
    </sheetView>
  </sheetViews>
  <sheetFormatPr defaultRowHeight="12.75" x14ac:dyDescent="0.2"/>
  <cols>
    <col min="1" max="1" width="10.85546875" customWidth="1"/>
    <col min="2" max="2" width="9.140625" style="51"/>
    <col min="3" max="3" width="9.140625" style="2"/>
    <col min="4" max="4" width="9.140625" style="51"/>
    <col min="5" max="5" width="11.140625" style="2" customWidth="1"/>
    <col min="6" max="7" width="9.140625" style="51"/>
    <col min="9" max="9" width="10.85546875" customWidth="1"/>
  </cols>
  <sheetData>
    <row r="1" spans="1:11" x14ac:dyDescent="0.2">
      <c r="A1" s="9"/>
      <c r="B1" s="48">
        <v>9.1549999999999994</v>
      </c>
      <c r="C1" s="15" t="s">
        <v>451</v>
      </c>
      <c r="D1" s="48">
        <v>24.18</v>
      </c>
      <c r="E1" s="12" t="s">
        <v>452</v>
      </c>
      <c r="F1" s="12" t="s">
        <v>453</v>
      </c>
      <c r="G1" s="12" t="s">
        <v>450</v>
      </c>
      <c r="H1" s="12" t="s">
        <v>448</v>
      </c>
      <c r="I1" s="12" t="s">
        <v>449</v>
      </c>
    </row>
    <row r="2" spans="1:11" x14ac:dyDescent="0.2">
      <c r="A2" s="19" t="s">
        <v>0</v>
      </c>
      <c r="B2" s="34">
        <f>44.94/B1</f>
        <v>4.908793009284544</v>
      </c>
      <c r="C2" s="34">
        <f t="shared" ref="C2:I2" si="0">44.94/C1</f>
        <v>2.8993548387096775</v>
      </c>
      <c r="D2" s="34">
        <f t="shared" si="0"/>
        <v>1.8585607940446649</v>
      </c>
      <c r="E2" s="34">
        <f t="shared" si="0"/>
        <v>1.2278688524590162</v>
      </c>
      <c r="F2" s="34">
        <f t="shared" si="0"/>
        <v>1</v>
      </c>
      <c r="G2" s="34">
        <f t="shared" si="0"/>
        <v>0.88117647058823523</v>
      </c>
      <c r="H2" s="34">
        <f t="shared" si="0"/>
        <v>0.80870973546877811</v>
      </c>
      <c r="I2" s="34">
        <f t="shared" si="0"/>
        <v>0.72659660468876308</v>
      </c>
    </row>
    <row r="3" spans="1:11" x14ac:dyDescent="0.2">
      <c r="A3" s="19" t="s">
        <v>1</v>
      </c>
      <c r="B3" s="34"/>
      <c r="C3" s="49">
        <f t="shared" ref="C3:I3" si="1">B2/C2</f>
        <v>1.6930638995084653</v>
      </c>
      <c r="D3" s="34">
        <f t="shared" si="1"/>
        <v>1.56</v>
      </c>
      <c r="E3" s="36">
        <f t="shared" si="1"/>
        <v>1.5136476426799008</v>
      </c>
      <c r="F3" s="36">
        <f t="shared" si="1"/>
        <v>1.2278688524590162</v>
      </c>
      <c r="G3" s="36">
        <f t="shared" si="1"/>
        <v>1.1348464619492658</v>
      </c>
      <c r="H3" s="36">
        <f t="shared" si="1"/>
        <v>1.0896078431372549</v>
      </c>
      <c r="I3" s="36">
        <f t="shared" si="1"/>
        <v>1.1130106172395178</v>
      </c>
      <c r="J3" t="s">
        <v>540</v>
      </c>
      <c r="K3" s="88">
        <f>B2/I2</f>
        <v>6.7558711086837802</v>
      </c>
    </row>
    <row r="4" spans="1:11" x14ac:dyDescent="0.2">
      <c r="A4" s="9"/>
      <c r="B4" s="50">
        <f t="shared" ref="B4:I4" si="2">100/B2</f>
        <v>20.371606586559857</v>
      </c>
      <c r="C4" s="8">
        <f t="shared" si="2"/>
        <v>34.49043168669337</v>
      </c>
      <c r="D4" s="50">
        <f t="shared" si="2"/>
        <v>53.805073431241659</v>
      </c>
      <c r="E4" s="7">
        <f t="shared" si="2"/>
        <v>81.441922563417904</v>
      </c>
      <c r="F4" s="7">
        <f t="shared" si="2"/>
        <v>100</v>
      </c>
      <c r="G4" s="7">
        <f t="shared" si="2"/>
        <v>113.48464619492658</v>
      </c>
      <c r="H4" s="7">
        <f t="shared" si="2"/>
        <v>123.65376056964843</v>
      </c>
      <c r="I4" s="7">
        <f t="shared" si="2"/>
        <v>137.62794837561194</v>
      </c>
    </row>
    <row r="5" spans="1:11" x14ac:dyDescent="0.2">
      <c r="B5" s="51">
        <f>1/B2</f>
        <v>0.20371606586559857</v>
      </c>
      <c r="C5" s="51">
        <f t="shared" ref="C5:I5" si="3">1/C2</f>
        <v>0.34490431686693368</v>
      </c>
      <c r="D5" s="51">
        <f t="shared" si="3"/>
        <v>0.53805073431241657</v>
      </c>
      <c r="E5" s="51">
        <f t="shared" si="3"/>
        <v>0.81441922563417901</v>
      </c>
      <c r="F5" s="51">
        <f t="shared" si="3"/>
        <v>1</v>
      </c>
      <c r="G5" s="51">
        <f t="shared" si="3"/>
        <v>1.1348464619492658</v>
      </c>
      <c r="H5" s="51">
        <f t="shared" si="3"/>
        <v>1.2365376056964843</v>
      </c>
      <c r="I5" s="51">
        <f t="shared" si="3"/>
        <v>1.3762794837561194</v>
      </c>
    </row>
    <row r="6" spans="1:11" x14ac:dyDescent="0.2">
      <c r="A6" s="188" t="s">
        <v>60</v>
      </c>
      <c r="B6" s="188"/>
      <c r="C6" s="188"/>
      <c r="D6" s="52"/>
      <c r="E6" s="189" t="s">
        <v>97</v>
      </c>
      <c r="F6" s="189"/>
      <c r="G6" s="189"/>
      <c r="I6" s="189" t="s">
        <v>98</v>
      </c>
      <c r="J6" s="189"/>
      <c r="K6" s="189"/>
    </row>
    <row r="7" spans="1:11" x14ac:dyDescent="0.2">
      <c r="D7" s="52"/>
      <c r="E7" s="185" t="s">
        <v>111</v>
      </c>
      <c r="F7" s="185"/>
      <c r="G7" s="185"/>
      <c r="I7" s="185" t="s">
        <v>796</v>
      </c>
      <c r="J7" s="185"/>
      <c r="K7" s="185"/>
    </row>
    <row r="8" spans="1:11" x14ac:dyDescent="0.2">
      <c r="A8" s="7" t="s">
        <v>2</v>
      </c>
      <c r="B8" s="8" t="s">
        <v>3</v>
      </c>
      <c r="C8" s="20" t="s">
        <v>0</v>
      </c>
      <c r="D8" s="52"/>
      <c r="E8" s="7" t="s">
        <v>2</v>
      </c>
      <c r="F8" s="7" t="s">
        <v>3</v>
      </c>
      <c r="G8" s="21" t="s">
        <v>0</v>
      </c>
      <c r="I8" s="7" t="s">
        <v>2</v>
      </c>
      <c r="J8" s="7" t="s">
        <v>3</v>
      </c>
      <c r="K8" s="21" t="s">
        <v>0</v>
      </c>
    </row>
    <row r="9" spans="1:11" x14ac:dyDescent="0.2">
      <c r="A9" s="187" t="s">
        <v>15</v>
      </c>
      <c r="B9" s="18" t="s">
        <v>18</v>
      </c>
      <c r="C9" s="18" t="s">
        <v>454</v>
      </c>
      <c r="D9" s="53"/>
      <c r="E9" s="230">
        <v>259</v>
      </c>
      <c r="F9" s="26" t="s">
        <v>388</v>
      </c>
      <c r="G9" s="26" t="s">
        <v>456</v>
      </c>
      <c r="H9" s="39"/>
      <c r="I9" s="230" t="s">
        <v>279</v>
      </c>
      <c r="J9" s="29" t="s">
        <v>291</v>
      </c>
      <c r="K9" s="29" t="s">
        <v>461</v>
      </c>
    </row>
    <row r="10" spans="1:11" x14ac:dyDescent="0.2">
      <c r="A10" s="187"/>
      <c r="B10" s="5" t="s">
        <v>16</v>
      </c>
      <c r="C10" s="5" t="s">
        <v>103</v>
      </c>
      <c r="D10" s="53"/>
      <c r="E10" s="230"/>
      <c r="F10" s="22"/>
      <c r="G10" s="22"/>
      <c r="H10" s="39"/>
      <c r="I10" s="230"/>
      <c r="J10" s="22"/>
      <c r="K10" s="22"/>
    </row>
    <row r="11" spans="1:11" x14ac:dyDescent="0.2">
      <c r="A11" s="187"/>
      <c r="B11" s="5" t="s">
        <v>104</v>
      </c>
      <c r="C11" s="5" t="s">
        <v>105</v>
      </c>
      <c r="D11" s="53"/>
      <c r="E11" s="230"/>
      <c r="F11" s="22"/>
      <c r="G11" s="22"/>
      <c r="H11" s="39"/>
      <c r="I11" s="230"/>
      <c r="J11" s="22"/>
      <c r="K11" s="22"/>
    </row>
    <row r="12" spans="1:11" x14ac:dyDescent="0.2">
      <c r="A12" s="187" t="s">
        <v>4</v>
      </c>
      <c r="B12" s="18" t="s">
        <v>5</v>
      </c>
      <c r="C12" s="18" t="s">
        <v>455</v>
      </c>
      <c r="D12" s="53"/>
      <c r="E12" s="230" t="s">
        <v>15</v>
      </c>
      <c r="F12" s="18" t="s">
        <v>18</v>
      </c>
      <c r="G12" s="18" t="s">
        <v>454</v>
      </c>
      <c r="H12" s="44"/>
      <c r="I12" s="230" t="s">
        <v>159</v>
      </c>
      <c r="J12" s="18" t="s">
        <v>57</v>
      </c>
      <c r="K12" s="18" t="s">
        <v>462</v>
      </c>
    </row>
    <row r="13" spans="1:11" x14ac:dyDescent="0.2">
      <c r="A13" s="187"/>
      <c r="B13" s="25" t="s">
        <v>798</v>
      </c>
      <c r="C13" s="25" t="s">
        <v>807</v>
      </c>
      <c r="D13" s="53"/>
      <c r="E13" s="230"/>
      <c r="F13" s="22"/>
      <c r="G13" s="22"/>
      <c r="H13" s="44"/>
      <c r="I13" s="230"/>
      <c r="J13" s="22"/>
      <c r="K13" s="22"/>
    </row>
    <row r="14" spans="1:11" x14ac:dyDescent="0.2">
      <c r="A14" s="187"/>
      <c r="B14" s="25" t="s">
        <v>7</v>
      </c>
      <c r="C14" s="25" t="s">
        <v>107</v>
      </c>
      <c r="D14" s="53"/>
      <c r="E14" s="230"/>
      <c r="F14" s="22"/>
      <c r="G14" s="22"/>
      <c r="H14" s="44"/>
      <c r="I14" s="230"/>
      <c r="J14" s="22"/>
      <c r="K14" s="22"/>
    </row>
    <row r="15" spans="1:11" x14ac:dyDescent="0.2">
      <c r="A15" s="229"/>
      <c r="B15" s="46"/>
      <c r="C15" s="46"/>
      <c r="D15" s="53"/>
      <c r="E15" s="230" t="s">
        <v>109</v>
      </c>
      <c r="F15" s="29" t="s">
        <v>286</v>
      </c>
      <c r="G15" s="29" t="s">
        <v>457</v>
      </c>
      <c r="H15" s="44"/>
    </row>
    <row r="16" spans="1:11" x14ac:dyDescent="0.2">
      <c r="A16" s="229"/>
      <c r="B16" s="46"/>
      <c r="C16" s="46"/>
      <c r="D16" s="53"/>
      <c r="E16" s="230"/>
      <c r="F16" s="22"/>
      <c r="G16" s="22"/>
      <c r="H16" s="44"/>
      <c r="I16" s="25" t="s">
        <v>18</v>
      </c>
      <c r="J16" s="25" t="s">
        <v>454</v>
      </c>
    </row>
    <row r="17" spans="1:10" x14ac:dyDescent="0.2">
      <c r="A17" s="229"/>
      <c r="B17" s="46"/>
      <c r="C17" s="46"/>
      <c r="D17" s="53"/>
      <c r="E17" s="230"/>
      <c r="F17" s="22"/>
      <c r="G17" s="22"/>
      <c r="H17" s="44"/>
      <c r="I17" s="25" t="s">
        <v>5</v>
      </c>
      <c r="J17" s="25" t="s">
        <v>455</v>
      </c>
    </row>
    <row r="18" spans="1:10" x14ac:dyDescent="0.2">
      <c r="A18" s="229"/>
      <c r="B18" s="46"/>
      <c r="C18" s="46"/>
      <c r="D18" s="53"/>
      <c r="E18" s="230" t="s">
        <v>110</v>
      </c>
      <c r="F18" s="29" t="s">
        <v>458</v>
      </c>
      <c r="G18" s="29" t="s">
        <v>459</v>
      </c>
      <c r="H18" s="44"/>
      <c r="I18" s="26" t="s">
        <v>291</v>
      </c>
      <c r="J18" s="26" t="s">
        <v>461</v>
      </c>
    </row>
    <row r="19" spans="1:10" x14ac:dyDescent="0.2">
      <c r="A19" s="229"/>
      <c r="B19" s="46"/>
      <c r="C19" s="46"/>
      <c r="D19" s="53"/>
      <c r="E19" s="230"/>
      <c r="F19" s="22"/>
      <c r="G19" s="22"/>
      <c r="H19" s="44"/>
      <c r="I19" s="25" t="s">
        <v>57</v>
      </c>
      <c r="J19" s="25" t="s">
        <v>462</v>
      </c>
    </row>
    <row r="20" spans="1:10" x14ac:dyDescent="0.2">
      <c r="A20" s="229"/>
      <c r="B20" s="46"/>
      <c r="C20" s="46"/>
      <c r="D20" s="53"/>
      <c r="E20" s="230"/>
      <c r="F20" s="22"/>
      <c r="G20" s="22"/>
      <c r="H20" s="44"/>
      <c r="I20" s="25" t="s">
        <v>41</v>
      </c>
      <c r="J20" s="25" t="s">
        <v>122</v>
      </c>
    </row>
    <row r="21" spans="1:10" x14ac:dyDescent="0.2">
      <c r="A21" s="229"/>
      <c r="B21" s="46"/>
      <c r="C21" s="46"/>
      <c r="D21" s="53"/>
      <c r="E21" s="230" t="s">
        <v>35</v>
      </c>
      <c r="F21" s="18" t="s">
        <v>39</v>
      </c>
      <c r="G21" s="29" t="s">
        <v>460</v>
      </c>
      <c r="H21" s="44"/>
      <c r="I21" s="25" t="s">
        <v>41</v>
      </c>
      <c r="J21" s="25" t="s">
        <v>52</v>
      </c>
    </row>
    <row r="22" spans="1:10" x14ac:dyDescent="0.2">
      <c r="A22" s="229"/>
      <c r="B22" s="46"/>
      <c r="C22" s="46"/>
      <c r="D22" s="53"/>
      <c r="E22" s="230"/>
      <c r="F22" s="43"/>
      <c r="G22" s="22"/>
      <c r="H22" s="44"/>
    </row>
    <row r="23" spans="1:10" x14ac:dyDescent="0.2">
      <c r="A23" s="229"/>
      <c r="B23" s="46"/>
      <c r="C23" s="46"/>
      <c r="D23" s="53"/>
      <c r="E23" s="230"/>
      <c r="F23" s="22"/>
      <c r="G23" s="22"/>
      <c r="H23" s="44"/>
    </row>
    <row r="24" spans="1:10" ht="39.75" customHeight="1" x14ac:dyDescent="0.2">
      <c r="A24" s="44"/>
      <c r="B24" s="46"/>
      <c r="C24" s="46"/>
      <c r="D24" s="53"/>
      <c r="E24" s="231" t="s">
        <v>463</v>
      </c>
      <c r="F24" s="231"/>
      <c r="G24" s="231"/>
      <c r="H24" s="44"/>
    </row>
    <row r="25" spans="1:10" x14ac:dyDescent="0.2">
      <c r="A25" s="44"/>
      <c r="B25" s="46"/>
      <c r="C25" s="46"/>
      <c r="D25" s="53"/>
      <c r="E25" s="45"/>
      <c r="F25" s="45"/>
      <c r="G25" s="45"/>
      <c r="H25" s="44"/>
      <c r="J25" t="s">
        <v>806</v>
      </c>
    </row>
    <row r="26" spans="1:10" x14ac:dyDescent="0.2">
      <c r="A26" s="44"/>
      <c r="B26" s="46"/>
      <c r="C26" s="46"/>
      <c r="D26" s="53"/>
      <c r="E26" s="45"/>
      <c r="F26" s="45"/>
      <c r="G26" s="45"/>
      <c r="H26" s="44"/>
    </row>
    <row r="27" spans="1:10" x14ac:dyDescent="0.2">
      <c r="A27" s="44"/>
      <c r="B27" s="46"/>
      <c r="C27" s="46"/>
      <c r="D27" s="53"/>
      <c r="E27" s="46"/>
      <c r="F27" s="46"/>
      <c r="G27" s="45"/>
      <c r="H27" s="44"/>
    </row>
    <row r="28" spans="1:10" x14ac:dyDescent="0.2">
      <c r="A28" s="44"/>
      <c r="B28" s="46"/>
      <c r="C28" s="46"/>
      <c r="D28" s="53"/>
      <c r="E28" s="46"/>
      <c r="F28" s="46"/>
      <c r="G28" s="45"/>
      <c r="H28" s="44"/>
    </row>
    <row r="29" spans="1:10" x14ac:dyDescent="0.2">
      <c r="A29" s="44"/>
      <c r="B29" s="46"/>
      <c r="C29" s="46"/>
      <c r="D29" s="53"/>
      <c r="E29" s="46"/>
      <c r="F29" s="46"/>
      <c r="G29" s="45"/>
      <c r="H29" s="44"/>
    </row>
    <row r="30" spans="1:10" x14ac:dyDescent="0.2">
      <c r="A30" s="44"/>
      <c r="B30" s="46"/>
      <c r="C30" s="46"/>
      <c r="D30" s="53"/>
      <c r="E30" s="45"/>
      <c r="F30" s="45"/>
      <c r="G30" s="45"/>
      <c r="H30" s="44"/>
    </row>
    <row r="31" spans="1:10" x14ac:dyDescent="0.2">
      <c r="A31" s="44"/>
      <c r="B31" s="46"/>
      <c r="C31" s="46"/>
      <c r="D31" s="53"/>
      <c r="E31" s="45"/>
      <c r="F31" s="45"/>
      <c r="G31" s="45"/>
      <c r="H31" s="44"/>
    </row>
    <row r="32" spans="1:10" x14ac:dyDescent="0.2">
      <c r="A32" s="44"/>
      <c r="B32" s="46"/>
      <c r="C32" s="46"/>
      <c r="D32" s="53"/>
      <c r="E32" s="45"/>
      <c r="F32" s="45"/>
      <c r="G32" s="45"/>
      <c r="H32" s="44"/>
    </row>
    <row r="33" spans="1:8" x14ac:dyDescent="0.2">
      <c r="A33" s="44"/>
      <c r="B33" s="54"/>
      <c r="C33" s="46"/>
      <c r="D33" s="53"/>
      <c r="E33" s="46"/>
      <c r="F33" s="54"/>
      <c r="G33" s="54"/>
      <c r="H33" s="44"/>
    </row>
    <row r="34" spans="1:8" x14ac:dyDescent="0.2">
      <c r="A34" s="47"/>
      <c r="B34" s="55"/>
      <c r="C34" s="56"/>
      <c r="D34" s="55"/>
      <c r="E34" s="56"/>
      <c r="F34" s="55"/>
      <c r="G34" s="55"/>
      <c r="H34" s="47"/>
    </row>
    <row r="35" spans="1:8" x14ac:dyDescent="0.2">
      <c r="A35" s="47"/>
      <c r="B35" s="55"/>
      <c r="C35" s="56"/>
      <c r="D35" s="55"/>
      <c r="E35" s="56"/>
      <c r="F35" s="55"/>
      <c r="G35" s="55"/>
      <c r="H35" s="47"/>
    </row>
    <row r="36" spans="1:8" x14ac:dyDescent="0.2">
      <c r="A36" s="47"/>
      <c r="B36" s="55"/>
      <c r="C36" s="56"/>
      <c r="D36" s="55"/>
      <c r="E36" s="56"/>
      <c r="F36" s="55"/>
      <c r="G36" s="55"/>
      <c r="H36" s="47"/>
    </row>
  </sheetData>
  <mergeCells count="18">
    <mergeCell ref="E24:G24"/>
    <mergeCell ref="I6:K6"/>
    <mergeCell ref="I7:K7"/>
    <mergeCell ref="I9:I11"/>
    <mergeCell ref="I12:I14"/>
    <mergeCell ref="E21:E23"/>
    <mergeCell ref="E6:G6"/>
    <mergeCell ref="E7:G7"/>
    <mergeCell ref="E18:E20"/>
    <mergeCell ref="E9:E11"/>
    <mergeCell ref="A18:A20"/>
    <mergeCell ref="A21:A23"/>
    <mergeCell ref="A6:C6"/>
    <mergeCell ref="A9:A11"/>
    <mergeCell ref="E12:E14"/>
    <mergeCell ref="E15:E17"/>
    <mergeCell ref="A12:A14"/>
    <mergeCell ref="A15:A17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8"/>
  <sheetViews>
    <sheetView workbookViewId="0">
      <selection activeCell="O22" sqref="O22"/>
    </sheetView>
  </sheetViews>
  <sheetFormatPr defaultRowHeight="12.75" x14ac:dyDescent="0.2"/>
  <cols>
    <col min="8" max="8" width="9.28515625" customWidth="1"/>
    <col min="9" max="9" width="10.85546875" customWidth="1"/>
  </cols>
  <sheetData>
    <row r="1" spans="1:15" x14ac:dyDescent="0.2">
      <c r="A1" s="9"/>
      <c r="B1" s="48">
        <v>12.228400000000001</v>
      </c>
      <c r="C1" s="15" t="s">
        <v>112</v>
      </c>
      <c r="D1" s="48">
        <v>32.976999999999997</v>
      </c>
      <c r="E1" s="12" t="s">
        <v>113</v>
      </c>
      <c r="F1" s="12" t="s">
        <v>139</v>
      </c>
      <c r="G1" s="12" t="s">
        <v>108</v>
      </c>
      <c r="H1" s="12" t="s">
        <v>140</v>
      </c>
      <c r="I1" s="12" t="s">
        <v>114</v>
      </c>
      <c r="J1" s="12" t="s">
        <v>141</v>
      </c>
      <c r="K1" s="58">
        <v>79.295000000000002</v>
      </c>
    </row>
    <row r="2" spans="1:15" x14ac:dyDescent="0.2">
      <c r="A2" s="19" t="s">
        <v>0</v>
      </c>
      <c r="B2" s="34">
        <f>50/B1</f>
        <v>4.088842366949069</v>
      </c>
      <c r="C2" s="34">
        <f t="shared" ref="C2:H2" si="0">50/C1</f>
        <v>2.2222222222222223</v>
      </c>
      <c r="D2" s="34">
        <f t="shared" si="0"/>
        <v>1.5162082663674683</v>
      </c>
      <c r="E2" s="49">
        <f t="shared" si="0"/>
        <v>1.2732365673542143</v>
      </c>
      <c r="F2" s="34">
        <f t="shared" si="0"/>
        <v>1.1001100110011</v>
      </c>
      <c r="G2" s="34">
        <f t="shared" si="0"/>
        <v>1</v>
      </c>
      <c r="H2" s="34">
        <f t="shared" si="0"/>
        <v>0.91810503121557108</v>
      </c>
      <c r="I2" s="34">
        <f>50/I1</f>
        <v>0.8014104824491104</v>
      </c>
      <c r="J2" s="34">
        <f>50/J1</f>
        <v>0.74973759184285504</v>
      </c>
      <c r="K2" s="34">
        <f>50/K1</f>
        <v>0.63055678163818651</v>
      </c>
      <c r="N2" t="s">
        <v>540</v>
      </c>
      <c r="O2" s="89">
        <f>B2/K2</f>
        <v>6.4844951097445289</v>
      </c>
    </row>
    <row r="3" spans="1:15" x14ac:dyDescent="0.2">
      <c r="A3" s="19" t="s">
        <v>1</v>
      </c>
      <c r="B3" s="34"/>
      <c r="C3" s="49">
        <f t="shared" ref="C3:I3" si="1">B2/C2</f>
        <v>1.8399790651270809</v>
      </c>
      <c r="D3" s="34">
        <f t="shared" si="1"/>
        <v>1.4656444444444445</v>
      </c>
      <c r="E3" s="36">
        <f t="shared" si="1"/>
        <v>1.1908299724050098</v>
      </c>
      <c r="F3" s="36">
        <f t="shared" si="1"/>
        <v>1.1573720397249809</v>
      </c>
      <c r="G3" s="36">
        <f t="shared" si="1"/>
        <v>1.1001100110011</v>
      </c>
      <c r="H3" s="36">
        <f t="shared" si="1"/>
        <v>1.0891999999999999</v>
      </c>
      <c r="I3" s="36">
        <f t="shared" si="1"/>
        <v>1.1456114579507897</v>
      </c>
      <c r="J3" s="36">
        <f>I2/J2</f>
        <v>1.0689213014906234</v>
      </c>
      <c r="K3" s="36">
        <f>J2/K2</f>
        <v>1.1890088469035838</v>
      </c>
    </row>
    <row r="4" spans="1:15" x14ac:dyDescent="0.2">
      <c r="A4" s="9"/>
      <c r="B4" s="50">
        <f>100/B2</f>
        <v>24.456800000000001</v>
      </c>
      <c r="C4" s="8">
        <f t="shared" ref="C4:H4" si="2">100/C2</f>
        <v>45</v>
      </c>
      <c r="D4" s="50">
        <f t="shared" si="2"/>
        <v>65.953999999999994</v>
      </c>
      <c r="E4" s="7">
        <f t="shared" si="2"/>
        <v>78.540000000000006</v>
      </c>
      <c r="F4" s="7">
        <f t="shared" si="2"/>
        <v>90.90000000000002</v>
      </c>
      <c r="G4" s="7">
        <f t="shared" si="2"/>
        <v>100</v>
      </c>
      <c r="H4" s="7">
        <f t="shared" si="2"/>
        <v>108.92</v>
      </c>
      <c r="I4" s="7">
        <f>100/I2</f>
        <v>124.78</v>
      </c>
      <c r="J4" s="7">
        <f>100/J2</f>
        <v>133.38</v>
      </c>
      <c r="K4" s="7">
        <f>100/K2</f>
        <v>158.59</v>
      </c>
    </row>
    <row r="5" spans="1:15" x14ac:dyDescent="0.2">
      <c r="B5" s="51">
        <f>1/B2</f>
        <v>0.24456800000000004</v>
      </c>
      <c r="C5" s="51">
        <f t="shared" ref="C5:H5" si="3">1/C2</f>
        <v>0.44999999999999996</v>
      </c>
      <c r="D5" s="51">
        <f t="shared" si="3"/>
        <v>0.65954000000000002</v>
      </c>
      <c r="E5" s="51">
        <f t="shared" si="3"/>
        <v>0.7854000000000001</v>
      </c>
      <c r="F5" s="51">
        <f t="shared" si="3"/>
        <v>0.90900000000000014</v>
      </c>
      <c r="G5" s="51">
        <f t="shared" si="3"/>
        <v>1</v>
      </c>
      <c r="H5" s="51">
        <f t="shared" si="3"/>
        <v>1.0891999999999999</v>
      </c>
      <c r="I5" s="51">
        <f>1/I2</f>
        <v>1.2478</v>
      </c>
      <c r="J5" s="51">
        <f>1/J2</f>
        <v>1.3337999999999999</v>
      </c>
      <c r="K5" s="51">
        <f>1/K2</f>
        <v>1.5859000000000001</v>
      </c>
    </row>
    <row r="6" spans="1:15" x14ac:dyDescent="0.2">
      <c r="A6" s="188" t="s">
        <v>60</v>
      </c>
      <c r="B6" s="188"/>
      <c r="C6" s="188"/>
      <c r="D6" s="52"/>
      <c r="E6" s="189" t="s">
        <v>97</v>
      </c>
      <c r="F6" s="189"/>
      <c r="G6" s="189"/>
      <c r="I6" s="189" t="s">
        <v>97</v>
      </c>
      <c r="J6" s="189"/>
      <c r="K6" s="189"/>
    </row>
    <row r="7" spans="1:15" x14ac:dyDescent="0.2">
      <c r="B7" s="51"/>
      <c r="C7" s="2"/>
      <c r="D7" s="52"/>
      <c r="E7" s="185" t="s">
        <v>119</v>
      </c>
      <c r="F7" s="185"/>
      <c r="G7" s="185"/>
      <c r="I7" s="185" t="s">
        <v>797</v>
      </c>
      <c r="J7" s="185"/>
      <c r="K7" s="185"/>
    </row>
    <row r="8" spans="1:15" x14ac:dyDescent="0.2">
      <c r="A8" s="7" t="s">
        <v>2</v>
      </c>
      <c r="B8" s="8" t="s">
        <v>3</v>
      </c>
      <c r="C8" s="20" t="s">
        <v>0</v>
      </c>
      <c r="D8" s="52"/>
      <c r="E8" s="7" t="s">
        <v>2</v>
      </c>
      <c r="F8" s="7" t="s">
        <v>3</v>
      </c>
      <c r="G8" s="21" t="s">
        <v>0</v>
      </c>
      <c r="I8" s="131" t="s">
        <v>2</v>
      </c>
      <c r="J8" s="131" t="s">
        <v>3</v>
      </c>
      <c r="K8" s="132" t="s">
        <v>0</v>
      </c>
    </row>
    <row r="9" spans="1:15" x14ac:dyDescent="0.2">
      <c r="A9" s="187" t="s">
        <v>115</v>
      </c>
      <c r="B9" s="18" t="s">
        <v>123</v>
      </c>
      <c r="C9" s="18" t="s">
        <v>142</v>
      </c>
      <c r="D9" s="53"/>
      <c r="E9" s="187" t="s">
        <v>120</v>
      </c>
      <c r="F9" s="29" t="s">
        <v>137</v>
      </c>
      <c r="G9" s="29" t="s">
        <v>154</v>
      </c>
      <c r="H9" s="39">
        <v>1</v>
      </c>
      <c r="I9" s="233">
        <v>245</v>
      </c>
      <c r="J9" s="125">
        <v>452</v>
      </c>
      <c r="K9" s="125">
        <v>-2.226</v>
      </c>
    </row>
    <row r="10" spans="1:15" x14ac:dyDescent="0.2">
      <c r="A10" s="187"/>
      <c r="B10" s="5" t="s">
        <v>124</v>
      </c>
      <c r="C10" s="5" t="s">
        <v>143</v>
      </c>
      <c r="D10" s="53"/>
      <c r="E10" s="187"/>
      <c r="F10" s="4" t="s">
        <v>138</v>
      </c>
      <c r="G10" s="4" t="s">
        <v>155</v>
      </c>
      <c r="H10" s="39"/>
      <c r="I10" s="233"/>
      <c r="J10" s="133">
        <v>425</v>
      </c>
      <c r="K10" s="133">
        <v>3.226</v>
      </c>
    </row>
    <row r="11" spans="1:15" x14ac:dyDescent="0.2">
      <c r="A11" s="187"/>
      <c r="B11" s="5" t="s">
        <v>125</v>
      </c>
      <c r="C11" s="5" t="s">
        <v>144</v>
      </c>
      <c r="D11" s="53"/>
      <c r="E11" s="187"/>
      <c r="F11" s="4" t="s">
        <v>156</v>
      </c>
      <c r="G11" s="4" t="s">
        <v>157</v>
      </c>
      <c r="H11" s="39"/>
      <c r="I11" s="233"/>
      <c r="J11" s="133">
        <v>245</v>
      </c>
      <c r="K11" s="133">
        <v>1.4490000000000001</v>
      </c>
    </row>
    <row r="12" spans="1:15" x14ac:dyDescent="0.2">
      <c r="A12" s="230" t="s">
        <v>116</v>
      </c>
      <c r="B12" s="18" t="s">
        <v>126</v>
      </c>
      <c r="C12" s="18" t="s">
        <v>145</v>
      </c>
      <c r="D12" s="53"/>
      <c r="E12" s="44"/>
      <c r="I12" s="233">
        <v>246</v>
      </c>
      <c r="J12" s="126">
        <v>429</v>
      </c>
      <c r="K12" s="126">
        <v>-5.04</v>
      </c>
    </row>
    <row r="13" spans="1:15" x14ac:dyDescent="0.2">
      <c r="A13" s="230"/>
      <c r="B13" s="43" t="s">
        <v>127</v>
      </c>
      <c r="C13" s="43" t="s">
        <v>146</v>
      </c>
      <c r="D13" s="53"/>
      <c r="E13" s="25" t="s">
        <v>123</v>
      </c>
      <c r="F13" s="25" t="s">
        <v>142</v>
      </c>
      <c r="I13" s="233"/>
      <c r="J13" s="133"/>
      <c r="K13" s="133"/>
    </row>
    <row r="14" spans="1:15" x14ac:dyDescent="0.2">
      <c r="A14" s="230"/>
      <c r="B14" s="43" t="s">
        <v>116</v>
      </c>
      <c r="C14" s="43" t="s">
        <v>147</v>
      </c>
      <c r="D14" s="53"/>
      <c r="E14" s="26" t="s">
        <v>137</v>
      </c>
      <c r="F14" s="26" t="s">
        <v>154</v>
      </c>
      <c r="I14" s="233"/>
      <c r="J14" s="133"/>
      <c r="K14" s="133"/>
    </row>
    <row r="15" spans="1:15" x14ac:dyDescent="0.2">
      <c r="A15" s="232" t="s">
        <v>4</v>
      </c>
      <c r="B15" s="25" t="s">
        <v>7</v>
      </c>
      <c r="C15" s="25" t="s">
        <v>148</v>
      </c>
      <c r="D15" s="53"/>
      <c r="E15" s="25" t="s">
        <v>128</v>
      </c>
      <c r="F15" s="25" t="s">
        <v>129</v>
      </c>
      <c r="I15" s="233" t="s">
        <v>798</v>
      </c>
      <c r="J15" s="126" t="s">
        <v>7</v>
      </c>
      <c r="K15" s="126">
        <v>-11.21</v>
      </c>
    </row>
    <row r="16" spans="1:15" x14ac:dyDescent="0.2">
      <c r="A16" s="232"/>
      <c r="B16" s="25" t="s">
        <v>106</v>
      </c>
      <c r="C16" s="25" t="s">
        <v>149</v>
      </c>
      <c r="D16" s="53"/>
      <c r="E16" s="25" t="s">
        <v>134</v>
      </c>
      <c r="F16" s="25" t="s">
        <v>151</v>
      </c>
      <c r="I16" s="233"/>
      <c r="J16" s="126" t="s">
        <v>106</v>
      </c>
      <c r="K16" s="126">
        <v>1.08</v>
      </c>
    </row>
    <row r="17" spans="1:11" x14ac:dyDescent="0.2">
      <c r="A17" s="232"/>
      <c r="B17" s="25" t="s">
        <v>5</v>
      </c>
      <c r="C17" s="25" t="s">
        <v>150</v>
      </c>
      <c r="D17" s="53"/>
      <c r="E17" s="57">
        <v>489</v>
      </c>
      <c r="F17" s="51"/>
      <c r="I17" s="233"/>
      <c r="J17" s="126" t="s">
        <v>5</v>
      </c>
      <c r="K17" s="126">
        <v>12.21</v>
      </c>
    </row>
    <row r="18" spans="1:11" x14ac:dyDescent="0.2">
      <c r="A18" s="230" t="s">
        <v>117</v>
      </c>
      <c r="B18" s="18" t="s">
        <v>128</v>
      </c>
      <c r="C18" s="18" t="s">
        <v>129</v>
      </c>
      <c r="D18" s="53"/>
      <c r="E18" s="25" t="s">
        <v>122</v>
      </c>
      <c r="F18" s="51"/>
      <c r="H18">
        <v>2</v>
      </c>
      <c r="I18" s="233">
        <v>256</v>
      </c>
      <c r="J18" s="125">
        <v>529</v>
      </c>
      <c r="K18" s="125">
        <v>-1.56</v>
      </c>
    </row>
    <row r="19" spans="1:11" x14ac:dyDescent="0.2">
      <c r="A19" s="230"/>
      <c r="B19" s="43" t="s">
        <v>130</v>
      </c>
      <c r="C19" s="43" t="s">
        <v>131</v>
      </c>
      <c r="D19" s="53"/>
      <c r="E19" s="54"/>
      <c r="F19" s="51"/>
      <c r="I19" s="233"/>
      <c r="J19" s="133"/>
      <c r="K19" s="133"/>
    </row>
    <row r="20" spans="1:11" x14ac:dyDescent="0.2">
      <c r="A20" s="230"/>
      <c r="B20" s="43" t="s">
        <v>132</v>
      </c>
      <c r="C20" s="43" t="s">
        <v>133</v>
      </c>
      <c r="D20" s="53"/>
      <c r="E20" s="25" t="s">
        <v>123</v>
      </c>
      <c r="F20" s="25" t="s">
        <v>142</v>
      </c>
      <c r="I20" s="233"/>
      <c r="J20" s="133"/>
      <c r="K20" s="133"/>
    </row>
    <row r="21" spans="1:11" x14ac:dyDescent="0.2">
      <c r="A21" s="230" t="s">
        <v>118</v>
      </c>
      <c r="B21" s="18" t="s">
        <v>134</v>
      </c>
      <c r="C21" s="18" t="s">
        <v>151</v>
      </c>
      <c r="D21" s="53"/>
      <c r="E21" s="26" t="s">
        <v>137</v>
      </c>
      <c r="F21" s="26" t="s">
        <v>154</v>
      </c>
      <c r="G21" s="45"/>
      <c r="H21" s="44">
        <v>3</v>
      </c>
      <c r="I21" s="234" t="s">
        <v>799</v>
      </c>
      <c r="J21" s="125" t="s">
        <v>128</v>
      </c>
      <c r="K21" s="125">
        <v>-3.4740000000000002</v>
      </c>
    </row>
    <row r="22" spans="1:11" x14ac:dyDescent="0.2">
      <c r="A22" s="230"/>
      <c r="B22" s="43" t="s">
        <v>135</v>
      </c>
      <c r="C22" s="43" t="s">
        <v>152</v>
      </c>
      <c r="D22" s="53"/>
      <c r="E22" s="25" t="s">
        <v>126</v>
      </c>
      <c r="F22" s="25" t="s">
        <v>145</v>
      </c>
      <c r="G22" s="45"/>
      <c r="H22" s="44"/>
      <c r="I22" s="234"/>
      <c r="J22" s="133" t="s">
        <v>130</v>
      </c>
      <c r="K22" s="133">
        <v>4.4740000000000002</v>
      </c>
    </row>
    <row r="23" spans="1:11" x14ac:dyDescent="0.2">
      <c r="A23" s="230"/>
      <c r="B23" s="43" t="s">
        <v>136</v>
      </c>
      <c r="C23" s="43" t="s">
        <v>153</v>
      </c>
      <c r="D23" s="53"/>
      <c r="E23" s="25" t="s">
        <v>128</v>
      </c>
      <c r="F23" s="25" t="s">
        <v>129</v>
      </c>
      <c r="G23" s="45"/>
      <c r="H23" s="44"/>
      <c r="I23" s="234"/>
      <c r="J23" s="133" t="s">
        <v>132</v>
      </c>
      <c r="K23" s="133">
        <v>1.288</v>
      </c>
    </row>
    <row r="24" spans="1:11" x14ac:dyDescent="0.2">
      <c r="A24" s="44" t="s">
        <v>121</v>
      </c>
      <c r="B24" s="46" t="s">
        <v>122</v>
      </c>
      <c r="C24" s="46"/>
      <c r="D24" s="53"/>
      <c r="E24" s="57">
        <v>489</v>
      </c>
      <c r="F24" s="59"/>
      <c r="G24" s="45"/>
      <c r="H24" s="44" t="s">
        <v>465</v>
      </c>
      <c r="I24" s="234" t="s">
        <v>800</v>
      </c>
      <c r="J24" s="127" t="s">
        <v>245</v>
      </c>
      <c r="K24" s="127">
        <v>-1.22</v>
      </c>
    </row>
    <row r="25" spans="1:11" x14ac:dyDescent="0.2">
      <c r="A25" s="44"/>
      <c r="B25" s="46"/>
      <c r="C25" s="46"/>
      <c r="D25" s="53"/>
      <c r="E25" s="25" t="s">
        <v>122</v>
      </c>
      <c r="F25" s="59"/>
      <c r="G25" s="45"/>
      <c r="H25" s="44"/>
      <c r="I25" s="234"/>
      <c r="J25" s="134"/>
      <c r="K25" s="134"/>
    </row>
    <row r="26" spans="1:11" x14ac:dyDescent="0.2">
      <c r="A26" s="44"/>
      <c r="B26" s="46"/>
      <c r="C26" s="46"/>
      <c r="D26" s="53"/>
      <c r="E26" s="45"/>
      <c r="F26" s="45"/>
      <c r="G26" s="45"/>
      <c r="H26" s="44"/>
      <c r="I26" s="234"/>
      <c r="J26" s="134"/>
      <c r="K26" s="134"/>
    </row>
    <row r="27" spans="1:11" x14ac:dyDescent="0.2">
      <c r="A27" s="44"/>
      <c r="B27" s="46"/>
      <c r="C27" s="46"/>
      <c r="D27" s="53"/>
      <c r="E27" s="25" t="s">
        <v>123</v>
      </c>
      <c r="F27" s="25" t="s">
        <v>142</v>
      </c>
      <c r="G27" s="45"/>
      <c r="H27" s="44">
        <v>4</v>
      </c>
      <c r="I27" s="234">
        <v>456</v>
      </c>
      <c r="J27" s="124">
        <v>459</v>
      </c>
      <c r="K27" s="124">
        <v>-1.36</v>
      </c>
    </row>
    <row r="28" spans="1:11" x14ac:dyDescent="0.2">
      <c r="A28" s="44"/>
      <c r="B28" s="46"/>
      <c r="C28" s="46"/>
      <c r="D28" s="53"/>
      <c r="E28" s="26" t="s">
        <v>137</v>
      </c>
      <c r="F28" s="26" t="s">
        <v>154</v>
      </c>
      <c r="G28" s="45"/>
      <c r="H28" s="44"/>
      <c r="I28" s="234"/>
      <c r="J28" s="134"/>
      <c r="K28" s="134"/>
    </row>
    <row r="29" spans="1:11" x14ac:dyDescent="0.2">
      <c r="A29" s="44"/>
      <c r="B29" s="46"/>
      <c r="C29" s="46"/>
      <c r="D29" s="53"/>
      <c r="E29" s="25" t="s">
        <v>126</v>
      </c>
      <c r="F29" s="25" t="s">
        <v>145</v>
      </c>
      <c r="G29" s="45"/>
      <c r="H29" s="44"/>
      <c r="I29" s="234"/>
      <c r="J29" s="134"/>
      <c r="K29" s="134"/>
    </row>
    <row r="30" spans="1:11" x14ac:dyDescent="0.2">
      <c r="A30" s="44"/>
      <c r="B30" s="46"/>
      <c r="C30" s="46"/>
      <c r="D30" s="53"/>
      <c r="E30" s="25" t="s">
        <v>134</v>
      </c>
      <c r="F30" s="25" t="s">
        <v>151</v>
      </c>
      <c r="G30" s="45"/>
      <c r="H30" s="44">
        <v>5</v>
      </c>
      <c r="I30" s="234" t="s">
        <v>523</v>
      </c>
      <c r="J30" s="123" t="s">
        <v>134</v>
      </c>
      <c r="K30" s="123">
        <v>-1.728</v>
      </c>
    </row>
    <row r="31" spans="1:11" x14ac:dyDescent="0.2">
      <c r="A31" s="44"/>
      <c r="B31" s="46"/>
      <c r="C31" s="46"/>
      <c r="D31" s="53"/>
      <c r="E31" s="57">
        <v>489</v>
      </c>
      <c r="F31" s="59"/>
      <c r="G31" s="45"/>
      <c r="H31" s="44"/>
      <c r="I31" s="234"/>
      <c r="J31" s="135" t="s">
        <v>135</v>
      </c>
      <c r="K31" s="135">
        <v>2.7280000000000002</v>
      </c>
    </row>
    <row r="32" spans="1:11" x14ac:dyDescent="0.2">
      <c r="A32" s="44"/>
      <c r="B32" s="46"/>
      <c r="C32" s="46"/>
      <c r="D32" s="53"/>
      <c r="E32" s="25" t="s">
        <v>122</v>
      </c>
      <c r="F32" s="59"/>
      <c r="G32" s="45"/>
      <c r="H32" s="44"/>
      <c r="I32" s="234"/>
      <c r="J32" s="135" t="s">
        <v>136</v>
      </c>
      <c r="K32" s="135">
        <v>1.5780000000000001</v>
      </c>
    </row>
    <row r="33" spans="1:12" x14ac:dyDescent="0.2">
      <c r="A33" s="44"/>
      <c r="B33" s="54"/>
      <c r="C33" s="46"/>
      <c r="D33" s="53"/>
      <c r="E33" s="46"/>
      <c r="F33" s="54"/>
      <c r="G33" s="54"/>
      <c r="H33" s="44"/>
      <c r="I33" s="234" t="s">
        <v>801</v>
      </c>
      <c r="J33" s="127" t="s">
        <v>71</v>
      </c>
      <c r="K33" s="127">
        <v>-9.98</v>
      </c>
    </row>
    <row r="34" spans="1:12" x14ac:dyDescent="0.2">
      <c r="E34" s="25" t="s">
        <v>124</v>
      </c>
      <c r="F34" s="25" t="s">
        <v>143</v>
      </c>
      <c r="I34" s="234"/>
      <c r="J34" s="134"/>
      <c r="K34" s="134"/>
    </row>
    <row r="35" spans="1:12" x14ac:dyDescent="0.2">
      <c r="E35" s="26" t="s">
        <v>137</v>
      </c>
      <c r="F35" s="26" t="s">
        <v>154</v>
      </c>
      <c r="I35" s="234"/>
      <c r="J35" s="134"/>
      <c r="K35" s="134"/>
    </row>
    <row r="36" spans="1:12" x14ac:dyDescent="0.2">
      <c r="E36" s="25" t="s">
        <v>126</v>
      </c>
      <c r="F36" s="25" t="s">
        <v>145</v>
      </c>
      <c r="H36">
        <v>6</v>
      </c>
      <c r="I36" s="234" t="s">
        <v>802</v>
      </c>
      <c r="J36" s="124" t="s">
        <v>59</v>
      </c>
      <c r="K36" s="124">
        <v>-3.66</v>
      </c>
    </row>
    <row r="37" spans="1:12" x14ac:dyDescent="0.2">
      <c r="E37" s="25" t="s">
        <v>128</v>
      </c>
      <c r="F37" s="25" t="s">
        <v>129</v>
      </c>
      <c r="I37" s="234"/>
      <c r="J37" s="134"/>
      <c r="K37" s="134"/>
    </row>
    <row r="38" spans="1:12" x14ac:dyDescent="0.2">
      <c r="E38" s="57">
        <v>489</v>
      </c>
      <c r="F38" s="59"/>
      <c r="I38" s="234"/>
      <c r="J38" s="134"/>
      <c r="K38" s="134"/>
    </row>
    <row r="39" spans="1:12" x14ac:dyDescent="0.2">
      <c r="E39" s="25" t="s">
        <v>122</v>
      </c>
      <c r="F39" s="59"/>
    </row>
    <row r="40" spans="1:12" x14ac:dyDescent="0.2">
      <c r="E40" s="39"/>
      <c r="F40" s="39"/>
      <c r="H40">
        <v>123</v>
      </c>
      <c r="I40" s="25" t="s">
        <v>123</v>
      </c>
      <c r="J40" s="25" t="s">
        <v>142</v>
      </c>
    </row>
    <row r="41" spans="1:12" x14ac:dyDescent="0.2">
      <c r="E41" s="25" t="s">
        <v>124</v>
      </c>
      <c r="F41" s="25" t="s">
        <v>143</v>
      </c>
      <c r="I41" s="126">
        <v>452</v>
      </c>
      <c r="J41" s="126">
        <v>-2.226</v>
      </c>
    </row>
    <row r="42" spans="1:12" x14ac:dyDescent="0.2">
      <c r="E42" s="26" t="s">
        <v>137</v>
      </c>
      <c r="F42" s="26" t="s">
        <v>154</v>
      </c>
      <c r="I42" s="126">
        <v>529</v>
      </c>
      <c r="J42" s="126">
        <v>-1.56</v>
      </c>
    </row>
    <row r="43" spans="1:12" x14ac:dyDescent="0.2">
      <c r="E43" s="25" t="s">
        <v>126</v>
      </c>
      <c r="F43" s="25" t="s">
        <v>145</v>
      </c>
      <c r="I43" s="126" t="s">
        <v>128</v>
      </c>
      <c r="J43" s="126">
        <v>-3.4740000000000002</v>
      </c>
    </row>
    <row r="44" spans="1:12" x14ac:dyDescent="0.2">
      <c r="E44" s="25" t="s">
        <v>134</v>
      </c>
      <c r="F44" s="25" t="s">
        <v>151</v>
      </c>
      <c r="I44" s="25" t="s">
        <v>122</v>
      </c>
      <c r="J44" s="43"/>
    </row>
    <row r="45" spans="1:12" x14ac:dyDescent="0.2">
      <c r="E45" s="57">
        <v>489</v>
      </c>
      <c r="F45" s="59"/>
      <c r="I45" s="25" t="s">
        <v>169</v>
      </c>
      <c r="J45" s="122"/>
    </row>
    <row r="46" spans="1:12" x14ac:dyDescent="0.2">
      <c r="E46" s="25" t="s">
        <v>122</v>
      </c>
      <c r="F46" s="59"/>
    </row>
    <row r="47" spans="1:12" x14ac:dyDescent="0.2">
      <c r="H47">
        <v>124</v>
      </c>
      <c r="I47" s="25" t="s">
        <v>123</v>
      </c>
      <c r="J47" s="25" t="s">
        <v>142</v>
      </c>
      <c r="K47" s="235" t="s">
        <v>561</v>
      </c>
      <c r="L47" s="235"/>
    </row>
    <row r="48" spans="1:12" x14ac:dyDescent="0.2">
      <c r="E48" s="25" t="s">
        <v>124</v>
      </c>
      <c r="F48" s="25" t="s">
        <v>143</v>
      </c>
      <c r="I48" s="126">
        <v>452</v>
      </c>
      <c r="J48" s="126">
        <v>-2.226</v>
      </c>
      <c r="K48" s="235"/>
      <c r="L48" s="235"/>
    </row>
    <row r="49" spans="5:12" x14ac:dyDescent="0.2">
      <c r="E49" s="26" t="s">
        <v>137</v>
      </c>
      <c r="F49" s="26" t="s">
        <v>154</v>
      </c>
      <c r="I49" s="126">
        <v>529</v>
      </c>
      <c r="J49" s="126">
        <v>-1.56</v>
      </c>
      <c r="K49" s="235"/>
      <c r="L49" s="235"/>
    </row>
    <row r="50" spans="5:12" ht="13.5" thickBot="1" x14ac:dyDescent="0.25">
      <c r="E50" s="25" t="s">
        <v>128</v>
      </c>
      <c r="F50" s="25" t="s">
        <v>129</v>
      </c>
      <c r="I50" s="127">
        <v>459</v>
      </c>
      <c r="J50" s="121">
        <v>-1.36</v>
      </c>
      <c r="K50" s="235"/>
      <c r="L50" s="235"/>
    </row>
    <row r="51" spans="5:12" x14ac:dyDescent="0.2">
      <c r="E51" s="25" t="s">
        <v>134</v>
      </c>
      <c r="F51" s="25" t="s">
        <v>151</v>
      </c>
      <c r="I51" s="112" t="s">
        <v>122</v>
      </c>
      <c r="J51" s="43"/>
      <c r="K51" s="235"/>
      <c r="L51" s="235"/>
    </row>
    <row r="52" spans="5:12" x14ac:dyDescent="0.2">
      <c r="E52" s="57">
        <v>489</v>
      </c>
      <c r="F52" s="59"/>
      <c r="I52" s="25" t="s">
        <v>169</v>
      </c>
      <c r="J52" s="122"/>
      <c r="K52" s="235"/>
      <c r="L52" s="235"/>
    </row>
    <row r="53" spans="5:12" x14ac:dyDescent="0.2">
      <c r="E53" s="25" t="s">
        <v>122</v>
      </c>
      <c r="F53" s="59"/>
    </row>
    <row r="54" spans="5:12" ht="12.75" customHeight="1" x14ac:dyDescent="0.2">
      <c r="H54">
        <v>125</v>
      </c>
      <c r="I54" s="25" t="s">
        <v>123</v>
      </c>
      <c r="J54" s="25" t="s">
        <v>142</v>
      </c>
    </row>
    <row r="55" spans="5:12" x14ac:dyDescent="0.2">
      <c r="E55" s="25" t="s">
        <v>125</v>
      </c>
      <c r="F55" s="25" t="s">
        <v>144</v>
      </c>
      <c r="I55" s="126">
        <v>452</v>
      </c>
      <c r="J55" s="126">
        <v>-2.226</v>
      </c>
    </row>
    <row r="56" spans="5:12" x14ac:dyDescent="0.2">
      <c r="E56" s="26" t="s">
        <v>137</v>
      </c>
      <c r="F56" s="26" t="s">
        <v>154</v>
      </c>
      <c r="I56" s="126">
        <v>529</v>
      </c>
      <c r="J56" s="126">
        <v>-1.56</v>
      </c>
    </row>
    <row r="57" spans="5:12" x14ac:dyDescent="0.2">
      <c r="E57" s="25" t="s">
        <v>126</v>
      </c>
      <c r="F57" s="25" t="s">
        <v>145</v>
      </c>
      <c r="I57" s="128" t="s">
        <v>134</v>
      </c>
      <c r="J57" s="128">
        <v>-1.728</v>
      </c>
    </row>
    <row r="58" spans="5:12" x14ac:dyDescent="0.2">
      <c r="E58" s="25" t="s">
        <v>128</v>
      </c>
      <c r="F58" s="25" t="s">
        <v>129</v>
      </c>
      <c r="I58" s="25" t="s">
        <v>122</v>
      </c>
      <c r="J58" s="43"/>
    </row>
    <row r="59" spans="5:12" x14ac:dyDescent="0.2">
      <c r="E59" s="57">
        <v>489</v>
      </c>
      <c r="F59" s="59"/>
      <c r="I59" s="25" t="s">
        <v>169</v>
      </c>
      <c r="J59" s="122"/>
    </row>
    <row r="60" spans="5:12" x14ac:dyDescent="0.2">
      <c r="E60" s="25" t="s">
        <v>122</v>
      </c>
      <c r="F60" s="59"/>
      <c r="I60" s="122"/>
      <c r="J60" s="122"/>
    </row>
    <row r="61" spans="5:12" x14ac:dyDescent="0.2">
      <c r="H61">
        <v>126</v>
      </c>
      <c r="I61" s="25" t="s">
        <v>123</v>
      </c>
      <c r="J61" s="25" t="s">
        <v>142</v>
      </c>
    </row>
    <row r="62" spans="5:12" x14ac:dyDescent="0.2">
      <c r="E62" s="25" t="s">
        <v>125</v>
      </c>
      <c r="F62" s="25" t="s">
        <v>144</v>
      </c>
      <c r="I62" s="126">
        <v>452</v>
      </c>
      <c r="J62" s="126">
        <v>-2.226</v>
      </c>
    </row>
    <row r="63" spans="5:12" x14ac:dyDescent="0.2">
      <c r="E63" s="26" t="s">
        <v>137</v>
      </c>
      <c r="F63" s="26" t="s">
        <v>154</v>
      </c>
      <c r="I63" s="126">
        <v>529</v>
      </c>
      <c r="J63" s="126">
        <v>-1.56</v>
      </c>
    </row>
    <row r="64" spans="5:12" x14ac:dyDescent="0.2">
      <c r="E64" s="25" t="s">
        <v>126</v>
      </c>
      <c r="F64" s="25" t="s">
        <v>145</v>
      </c>
      <c r="I64" s="127" t="s">
        <v>59</v>
      </c>
      <c r="J64" s="127">
        <v>-3.66</v>
      </c>
    </row>
    <row r="65" spans="5:10" x14ac:dyDescent="0.2">
      <c r="E65" s="25" t="s">
        <v>134</v>
      </c>
      <c r="F65" s="25" t="s">
        <v>151</v>
      </c>
      <c r="I65" s="25" t="s">
        <v>122</v>
      </c>
      <c r="J65" s="43"/>
    </row>
    <row r="66" spans="5:10" x14ac:dyDescent="0.2">
      <c r="E66" s="57">
        <v>489</v>
      </c>
      <c r="F66" s="59"/>
      <c r="I66" s="25" t="s">
        <v>169</v>
      </c>
      <c r="J66" s="122"/>
    </row>
    <row r="67" spans="5:10" x14ac:dyDescent="0.2">
      <c r="E67" s="25" t="s">
        <v>122</v>
      </c>
      <c r="F67" s="59"/>
    </row>
    <row r="68" spans="5:10" x14ac:dyDescent="0.2">
      <c r="H68">
        <v>134</v>
      </c>
      <c r="I68" s="25" t="s">
        <v>123</v>
      </c>
      <c r="J68" s="25" t="s">
        <v>142</v>
      </c>
    </row>
    <row r="69" spans="5:10" x14ac:dyDescent="0.2">
      <c r="E69" s="25" t="s">
        <v>125</v>
      </c>
      <c r="F69" s="25" t="s">
        <v>144</v>
      </c>
      <c r="I69" s="126">
        <v>452</v>
      </c>
      <c r="J69" s="126">
        <v>-2.226</v>
      </c>
    </row>
    <row r="70" spans="5:10" x14ac:dyDescent="0.2">
      <c r="E70" s="26" t="s">
        <v>137</v>
      </c>
      <c r="F70" s="26" t="s">
        <v>154</v>
      </c>
      <c r="I70" s="126" t="s">
        <v>128</v>
      </c>
      <c r="J70" s="126">
        <v>-3.4740000000000002</v>
      </c>
    </row>
    <row r="71" spans="5:10" ht="13.5" thickBot="1" x14ac:dyDescent="0.25">
      <c r="E71" s="25" t="s">
        <v>128</v>
      </c>
      <c r="F71" s="25" t="s">
        <v>129</v>
      </c>
      <c r="I71" s="127">
        <v>459</v>
      </c>
      <c r="J71" s="121">
        <v>-1.36</v>
      </c>
    </row>
    <row r="72" spans="5:10" x14ac:dyDescent="0.2">
      <c r="E72" s="25" t="s">
        <v>134</v>
      </c>
      <c r="F72" s="25" t="s">
        <v>151</v>
      </c>
      <c r="I72" s="112" t="s">
        <v>122</v>
      </c>
      <c r="J72" s="43"/>
    </row>
    <row r="73" spans="5:10" x14ac:dyDescent="0.2">
      <c r="E73" s="57">
        <v>489</v>
      </c>
      <c r="F73" s="59"/>
      <c r="I73" s="25" t="s">
        <v>169</v>
      </c>
      <c r="J73" s="122"/>
    </row>
    <row r="74" spans="5:10" x14ac:dyDescent="0.2">
      <c r="E74" s="25" t="s">
        <v>122</v>
      </c>
      <c r="F74" s="59"/>
    </row>
    <row r="75" spans="5:10" x14ac:dyDescent="0.2">
      <c r="H75">
        <v>135</v>
      </c>
      <c r="I75" s="25" t="s">
        <v>123</v>
      </c>
      <c r="J75" s="25" t="s">
        <v>142</v>
      </c>
    </row>
    <row r="76" spans="5:10" x14ac:dyDescent="0.2">
      <c r="I76" s="126">
        <v>452</v>
      </c>
      <c r="J76" s="126">
        <v>-2.226</v>
      </c>
    </row>
    <row r="77" spans="5:10" x14ac:dyDescent="0.2">
      <c r="I77" s="126" t="s">
        <v>128</v>
      </c>
      <c r="J77" s="126">
        <v>-3.4740000000000002</v>
      </c>
    </row>
    <row r="78" spans="5:10" x14ac:dyDescent="0.2">
      <c r="I78" s="128" t="s">
        <v>134</v>
      </c>
      <c r="J78" s="128">
        <v>-1.728</v>
      </c>
    </row>
    <row r="79" spans="5:10" x14ac:dyDescent="0.2">
      <c r="I79" s="112" t="s">
        <v>122</v>
      </c>
      <c r="J79" s="43"/>
    </row>
    <row r="80" spans="5:10" x14ac:dyDescent="0.2">
      <c r="I80" s="25" t="s">
        <v>169</v>
      </c>
      <c r="J80" s="122"/>
    </row>
    <row r="82" spans="8:10" ht="12.75" customHeight="1" x14ac:dyDescent="0.2">
      <c r="H82">
        <v>136</v>
      </c>
      <c r="I82" s="25" t="s">
        <v>123</v>
      </c>
      <c r="J82" s="25" t="s">
        <v>142</v>
      </c>
    </row>
    <row r="83" spans="8:10" x14ac:dyDescent="0.2">
      <c r="I83" s="126">
        <v>452</v>
      </c>
      <c r="J83" s="126">
        <v>-2.226</v>
      </c>
    </row>
    <row r="84" spans="8:10" x14ac:dyDescent="0.2">
      <c r="I84" s="126" t="s">
        <v>128</v>
      </c>
      <c r="J84" s="126">
        <v>-3.4740000000000002</v>
      </c>
    </row>
    <row r="85" spans="8:10" x14ac:dyDescent="0.2">
      <c r="I85" s="127" t="s">
        <v>59</v>
      </c>
      <c r="J85" s="127">
        <v>-3.66</v>
      </c>
    </row>
    <row r="86" spans="8:10" x14ac:dyDescent="0.2">
      <c r="I86" s="112" t="s">
        <v>122</v>
      </c>
      <c r="J86" s="43"/>
    </row>
    <row r="87" spans="8:10" x14ac:dyDescent="0.2">
      <c r="I87" s="25" t="s">
        <v>169</v>
      </c>
      <c r="J87" s="122"/>
    </row>
    <row r="89" spans="8:10" x14ac:dyDescent="0.2">
      <c r="H89">
        <v>145</v>
      </c>
      <c r="I89" s="25" t="s">
        <v>123</v>
      </c>
      <c r="J89" s="25" t="s">
        <v>142</v>
      </c>
    </row>
    <row r="90" spans="8:10" x14ac:dyDescent="0.2">
      <c r="I90" s="126">
        <v>452</v>
      </c>
      <c r="J90" s="126">
        <v>-2.226</v>
      </c>
    </row>
    <row r="91" spans="8:10" x14ac:dyDescent="0.2">
      <c r="I91" s="127">
        <v>459</v>
      </c>
      <c r="J91" s="127">
        <v>-1.36</v>
      </c>
    </row>
    <row r="92" spans="8:10" x14ac:dyDescent="0.2">
      <c r="I92" s="128" t="s">
        <v>134</v>
      </c>
      <c r="J92" s="129">
        <v>-1.728</v>
      </c>
    </row>
    <row r="93" spans="8:10" x14ac:dyDescent="0.2">
      <c r="I93" s="112" t="s">
        <v>122</v>
      </c>
      <c r="J93" s="43"/>
    </row>
    <row r="94" spans="8:10" x14ac:dyDescent="0.2">
      <c r="I94" s="25" t="s">
        <v>169</v>
      </c>
      <c r="J94" s="122"/>
    </row>
    <row r="96" spans="8:10" x14ac:dyDescent="0.2">
      <c r="H96">
        <v>146</v>
      </c>
      <c r="I96" s="25" t="s">
        <v>123</v>
      </c>
      <c r="J96" s="25" t="s">
        <v>142</v>
      </c>
    </row>
    <row r="97" spans="8:10" x14ac:dyDescent="0.2">
      <c r="I97" s="126">
        <v>452</v>
      </c>
      <c r="J97" s="126">
        <v>-2.226</v>
      </c>
    </row>
    <row r="98" spans="8:10" x14ac:dyDescent="0.2">
      <c r="I98" s="127">
        <v>459</v>
      </c>
      <c r="J98" s="127">
        <v>-1.36</v>
      </c>
    </row>
    <row r="99" spans="8:10" x14ac:dyDescent="0.2">
      <c r="I99" s="127" t="s">
        <v>59</v>
      </c>
      <c r="J99" s="130">
        <v>-3.66</v>
      </c>
    </row>
    <row r="100" spans="8:10" x14ac:dyDescent="0.2">
      <c r="I100" s="112" t="s">
        <v>122</v>
      </c>
      <c r="J100" s="43"/>
    </row>
    <row r="101" spans="8:10" x14ac:dyDescent="0.2">
      <c r="I101" s="25" t="s">
        <v>169</v>
      </c>
      <c r="J101" s="122"/>
    </row>
    <row r="103" spans="8:10" x14ac:dyDescent="0.2">
      <c r="H103">
        <v>156</v>
      </c>
      <c r="I103" s="25" t="s">
        <v>123</v>
      </c>
      <c r="J103" s="25" t="s">
        <v>142</v>
      </c>
    </row>
    <row r="104" spans="8:10" x14ac:dyDescent="0.2">
      <c r="I104" s="126">
        <v>452</v>
      </c>
      <c r="J104" s="126">
        <v>-2.226</v>
      </c>
    </row>
    <row r="105" spans="8:10" x14ac:dyDescent="0.2">
      <c r="I105" s="128" t="s">
        <v>134</v>
      </c>
      <c r="J105" s="128">
        <v>-1.728</v>
      </c>
    </row>
    <row r="106" spans="8:10" x14ac:dyDescent="0.2">
      <c r="I106" s="127" t="s">
        <v>59</v>
      </c>
      <c r="J106" s="127">
        <v>-3.66</v>
      </c>
    </row>
    <row r="107" spans="8:10" x14ac:dyDescent="0.2">
      <c r="I107" s="112" t="s">
        <v>122</v>
      </c>
      <c r="J107" s="43"/>
    </row>
    <row r="108" spans="8:10" x14ac:dyDescent="0.2">
      <c r="I108" s="25" t="s">
        <v>169</v>
      </c>
      <c r="J108" s="122"/>
    </row>
    <row r="110" spans="8:10" x14ac:dyDescent="0.2">
      <c r="H110">
        <v>234</v>
      </c>
      <c r="I110" s="25" t="s">
        <v>123</v>
      </c>
      <c r="J110" s="25" t="s">
        <v>142</v>
      </c>
    </row>
    <row r="111" spans="8:10" x14ac:dyDescent="0.2">
      <c r="I111" s="126">
        <v>529</v>
      </c>
      <c r="J111" s="126">
        <v>-1.56</v>
      </c>
    </row>
    <row r="112" spans="8:10" x14ac:dyDescent="0.2">
      <c r="I112" s="126" t="s">
        <v>128</v>
      </c>
      <c r="J112" s="126">
        <v>-3.4740000000000002</v>
      </c>
    </row>
    <row r="113" spans="8:12" x14ac:dyDescent="0.2">
      <c r="I113" s="127">
        <v>459</v>
      </c>
      <c r="J113" s="127">
        <v>-1.36</v>
      </c>
    </row>
    <row r="114" spans="8:12" x14ac:dyDescent="0.2">
      <c r="I114" s="25" t="s">
        <v>122</v>
      </c>
      <c r="J114" s="43"/>
    </row>
    <row r="115" spans="8:12" x14ac:dyDescent="0.2">
      <c r="I115" s="25" t="s">
        <v>169</v>
      </c>
      <c r="J115" s="122"/>
    </row>
    <row r="117" spans="8:12" x14ac:dyDescent="0.2">
      <c r="H117">
        <v>235</v>
      </c>
      <c r="I117" s="25" t="s">
        <v>123</v>
      </c>
      <c r="J117" s="25" t="s">
        <v>142</v>
      </c>
    </row>
    <row r="118" spans="8:12" x14ac:dyDescent="0.2">
      <c r="I118" s="126">
        <v>529</v>
      </c>
      <c r="J118" s="126">
        <v>-1.56</v>
      </c>
    </row>
    <row r="119" spans="8:12" x14ac:dyDescent="0.2">
      <c r="I119" s="126" t="s">
        <v>128</v>
      </c>
      <c r="J119" s="126">
        <v>-3.4740000000000002</v>
      </c>
    </row>
    <row r="120" spans="8:12" x14ac:dyDescent="0.2">
      <c r="I120" s="128" t="s">
        <v>134</v>
      </c>
      <c r="J120" s="128">
        <v>-1.728</v>
      </c>
    </row>
    <row r="121" spans="8:12" x14ac:dyDescent="0.2">
      <c r="I121" s="25" t="s">
        <v>122</v>
      </c>
      <c r="J121" s="43"/>
    </row>
    <row r="122" spans="8:12" x14ac:dyDescent="0.2">
      <c r="I122" s="25" t="s">
        <v>169</v>
      </c>
      <c r="J122" s="122"/>
    </row>
    <row r="124" spans="8:12" x14ac:dyDescent="0.2">
      <c r="H124">
        <v>236</v>
      </c>
      <c r="I124" s="25" t="s">
        <v>123</v>
      </c>
      <c r="J124" s="25" t="s">
        <v>142</v>
      </c>
      <c r="K124" s="210" t="s">
        <v>803</v>
      </c>
      <c r="L124" s="211"/>
    </row>
    <row r="125" spans="8:12" x14ac:dyDescent="0.2">
      <c r="I125" s="126">
        <v>529</v>
      </c>
      <c r="J125" s="126">
        <v>-1.56</v>
      </c>
      <c r="K125" s="210"/>
      <c r="L125" s="211"/>
    </row>
    <row r="126" spans="8:12" x14ac:dyDescent="0.2">
      <c r="I126" s="126" t="s">
        <v>128</v>
      </c>
      <c r="J126" s="126">
        <v>-3.4740000000000002</v>
      </c>
      <c r="K126" s="210"/>
      <c r="L126" s="211"/>
    </row>
    <row r="127" spans="8:12" x14ac:dyDescent="0.2">
      <c r="I127" s="127" t="s">
        <v>59</v>
      </c>
      <c r="J127" s="127">
        <v>-3.66</v>
      </c>
      <c r="K127" s="210"/>
      <c r="L127" s="211"/>
    </row>
    <row r="128" spans="8:12" x14ac:dyDescent="0.2">
      <c r="I128" s="25" t="s">
        <v>122</v>
      </c>
      <c r="J128" s="43"/>
    </row>
    <row r="129" spans="8:10" x14ac:dyDescent="0.2">
      <c r="I129" s="25" t="s">
        <v>169</v>
      </c>
      <c r="J129" s="122"/>
    </row>
    <row r="131" spans="8:10" x14ac:dyDescent="0.2">
      <c r="H131">
        <v>245</v>
      </c>
      <c r="I131" s="25" t="s">
        <v>123</v>
      </c>
      <c r="J131" s="25" t="s">
        <v>142</v>
      </c>
    </row>
    <row r="132" spans="8:10" x14ac:dyDescent="0.2">
      <c r="I132" s="126">
        <v>529</v>
      </c>
      <c r="J132" s="126">
        <v>-1.56</v>
      </c>
    </row>
    <row r="133" spans="8:10" x14ac:dyDescent="0.2">
      <c r="I133" s="127">
        <v>459</v>
      </c>
      <c r="J133" s="127">
        <v>-1.36</v>
      </c>
    </row>
    <row r="134" spans="8:10" x14ac:dyDescent="0.2">
      <c r="I134" s="128" t="s">
        <v>134</v>
      </c>
      <c r="J134" s="128">
        <v>-1.728</v>
      </c>
    </row>
    <row r="135" spans="8:10" x14ac:dyDescent="0.2">
      <c r="I135" s="25" t="s">
        <v>122</v>
      </c>
      <c r="J135" s="43"/>
    </row>
    <row r="136" spans="8:10" x14ac:dyDescent="0.2">
      <c r="I136" s="25" t="s">
        <v>169</v>
      </c>
      <c r="J136" s="122"/>
    </row>
    <row r="138" spans="8:10" x14ac:dyDescent="0.2">
      <c r="H138">
        <v>246</v>
      </c>
      <c r="I138" s="25" t="s">
        <v>123</v>
      </c>
      <c r="J138" s="25" t="s">
        <v>142</v>
      </c>
    </row>
    <row r="139" spans="8:10" x14ac:dyDescent="0.2">
      <c r="I139" s="126">
        <v>529</v>
      </c>
      <c r="J139" s="126">
        <v>-1.56</v>
      </c>
    </row>
    <row r="140" spans="8:10" x14ac:dyDescent="0.2">
      <c r="I140" s="127">
        <v>459</v>
      </c>
      <c r="J140" s="127">
        <v>-1.36</v>
      </c>
    </row>
    <row r="141" spans="8:10" x14ac:dyDescent="0.2">
      <c r="I141" s="127" t="s">
        <v>59</v>
      </c>
      <c r="J141" s="127">
        <v>-3.66</v>
      </c>
    </row>
    <row r="142" spans="8:10" x14ac:dyDescent="0.2">
      <c r="I142" s="25" t="s">
        <v>122</v>
      </c>
      <c r="J142" s="43"/>
    </row>
    <row r="143" spans="8:10" x14ac:dyDescent="0.2">
      <c r="I143" s="25" t="s">
        <v>169</v>
      </c>
      <c r="J143" s="122"/>
    </row>
    <row r="145" spans="8:10" x14ac:dyDescent="0.2">
      <c r="H145">
        <v>256</v>
      </c>
      <c r="I145" s="25" t="s">
        <v>123</v>
      </c>
      <c r="J145" s="25" t="s">
        <v>142</v>
      </c>
    </row>
    <row r="146" spans="8:10" x14ac:dyDescent="0.2">
      <c r="I146" s="126">
        <v>529</v>
      </c>
      <c r="J146" s="126">
        <v>-1.56</v>
      </c>
    </row>
    <row r="147" spans="8:10" x14ac:dyDescent="0.2">
      <c r="I147" s="128" t="s">
        <v>134</v>
      </c>
      <c r="J147" s="128">
        <v>-1.728</v>
      </c>
    </row>
    <row r="148" spans="8:10" x14ac:dyDescent="0.2">
      <c r="I148" s="127" t="s">
        <v>59</v>
      </c>
      <c r="J148" s="127">
        <v>-3.66</v>
      </c>
    </row>
    <row r="149" spans="8:10" x14ac:dyDescent="0.2">
      <c r="I149" s="25" t="s">
        <v>122</v>
      </c>
      <c r="J149" s="43"/>
    </row>
    <row r="150" spans="8:10" x14ac:dyDescent="0.2">
      <c r="I150" s="25" t="s">
        <v>169</v>
      </c>
      <c r="J150" s="122"/>
    </row>
    <row r="152" spans="8:10" x14ac:dyDescent="0.2">
      <c r="H152">
        <v>345</v>
      </c>
      <c r="I152" s="25" t="s">
        <v>123</v>
      </c>
      <c r="J152" s="25" t="s">
        <v>142</v>
      </c>
    </row>
    <row r="153" spans="8:10" x14ac:dyDescent="0.2">
      <c r="I153" s="126" t="s">
        <v>128</v>
      </c>
      <c r="J153" s="126">
        <v>-3.4740000000000002</v>
      </c>
    </row>
    <row r="154" spans="8:10" x14ac:dyDescent="0.2">
      <c r="I154" s="127">
        <v>459</v>
      </c>
      <c r="J154" s="127">
        <v>-1.36</v>
      </c>
    </row>
    <row r="155" spans="8:10" x14ac:dyDescent="0.2">
      <c r="I155" s="128" t="s">
        <v>134</v>
      </c>
      <c r="J155" s="128">
        <v>-1.728</v>
      </c>
    </row>
    <row r="156" spans="8:10" x14ac:dyDescent="0.2">
      <c r="I156" s="25" t="s">
        <v>122</v>
      </c>
      <c r="J156" s="43"/>
    </row>
    <row r="157" spans="8:10" x14ac:dyDescent="0.2">
      <c r="I157" s="25" t="s">
        <v>169</v>
      </c>
      <c r="J157" s="122"/>
    </row>
    <row r="159" spans="8:10" x14ac:dyDescent="0.2">
      <c r="H159">
        <v>346</v>
      </c>
      <c r="I159" s="25" t="s">
        <v>123</v>
      </c>
      <c r="J159" s="25" t="s">
        <v>142</v>
      </c>
    </row>
    <row r="160" spans="8:10" x14ac:dyDescent="0.2">
      <c r="I160" s="126" t="s">
        <v>128</v>
      </c>
      <c r="J160" s="126">
        <v>-3.4740000000000002</v>
      </c>
    </row>
    <row r="161" spans="8:12" x14ac:dyDescent="0.2">
      <c r="I161" s="127">
        <v>459</v>
      </c>
      <c r="J161" s="127">
        <v>-1.36</v>
      </c>
    </row>
    <row r="162" spans="8:12" x14ac:dyDescent="0.2">
      <c r="I162" s="127" t="s">
        <v>59</v>
      </c>
      <c r="J162" s="127">
        <v>-3.66</v>
      </c>
    </row>
    <row r="163" spans="8:12" x14ac:dyDescent="0.2">
      <c r="I163" s="25" t="s">
        <v>122</v>
      </c>
      <c r="J163" s="43"/>
    </row>
    <row r="164" spans="8:12" x14ac:dyDescent="0.2">
      <c r="I164" s="25" t="s">
        <v>169</v>
      </c>
      <c r="J164" s="122"/>
    </row>
    <row r="166" spans="8:12" x14ac:dyDescent="0.2">
      <c r="H166">
        <v>356</v>
      </c>
      <c r="I166" s="25" t="s">
        <v>123</v>
      </c>
      <c r="J166" s="25" t="s">
        <v>142</v>
      </c>
    </row>
    <row r="167" spans="8:12" x14ac:dyDescent="0.2">
      <c r="I167" s="126" t="s">
        <v>128</v>
      </c>
      <c r="J167" s="126">
        <v>-3.4740000000000002</v>
      </c>
    </row>
    <row r="168" spans="8:12" x14ac:dyDescent="0.2">
      <c r="I168" s="128" t="s">
        <v>134</v>
      </c>
      <c r="J168" s="128">
        <v>-1.728</v>
      </c>
    </row>
    <row r="169" spans="8:12" x14ac:dyDescent="0.2">
      <c r="I169" s="127" t="s">
        <v>59</v>
      </c>
      <c r="J169" s="127">
        <v>-3.66</v>
      </c>
    </row>
    <row r="170" spans="8:12" x14ac:dyDescent="0.2">
      <c r="I170" s="25" t="s">
        <v>122</v>
      </c>
      <c r="J170" s="43"/>
    </row>
    <row r="171" spans="8:12" x14ac:dyDescent="0.2">
      <c r="I171" s="25" t="s">
        <v>169</v>
      </c>
      <c r="J171" s="122"/>
    </row>
    <row r="173" spans="8:12" x14ac:dyDescent="0.2">
      <c r="H173">
        <v>456</v>
      </c>
      <c r="I173" s="25" t="s">
        <v>123</v>
      </c>
      <c r="J173" s="25" t="s">
        <v>142</v>
      </c>
      <c r="K173" s="235" t="s">
        <v>498</v>
      </c>
      <c r="L173" s="235"/>
    </row>
    <row r="174" spans="8:12" x14ac:dyDescent="0.2">
      <c r="I174" s="127">
        <v>459</v>
      </c>
      <c r="J174" s="127">
        <v>-1.36</v>
      </c>
      <c r="K174" s="235"/>
      <c r="L174" s="235"/>
    </row>
    <row r="175" spans="8:12" x14ac:dyDescent="0.2">
      <c r="I175" s="128" t="s">
        <v>134</v>
      </c>
      <c r="J175" s="128">
        <v>-1.728</v>
      </c>
      <c r="K175" s="235"/>
      <c r="L175" s="235"/>
    </row>
    <row r="176" spans="8:12" x14ac:dyDescent="0.2">
      <c r="I176" s="127" t="s">
        <v>59</v>
      </c>
      <c r="J176" s="127">
        <v>-3.66</v>
      </c>
      <c r="K176" s="235"/>
      <c r="L176" s="235"/>
    </row>
    <row r="177" spans="9:12" x14ac:dyDescent="0.2">
      <c r="I177" s="25" t="s">
        <v>122</v>
      </c>
      <c r="J177" s="43"/>
      <c r="K177" s="235"/>
      <c r="L177" s="235"/>
    </row>
    <row r="178" spans="9:12" x14ac:dyDescent="0.2">
      <c r="I178" s="25" t="s">
        <v>169</v>
      </c>
      <c r="J178" s="122"/>
      <c r="K178" s="235"/>
      <c r="L178" s="235"/>
    </row>
  </sheetData>
  <mergeCells count="24">
    <mergeCell ref="I24:I26"/>
    <mergeCell ref="K47:L52"/>
    <mergeCell ref="K124:L127"/>
    <mergeCell ref="K173:L178"/>
    <mergeCell ref="I27:I29"/>
    <mergeCell ref="I30:I32"/>
    <mergeCell ref="I33:I35"/>
    <mergeCell ref="I36:I38"/>
    <mergeCell ref="A21:A23"/>
    <mergeCell ref="A12:A14"/>
    <mergeCell ref="A15:A17"/>
    <mergeCell ref="I6:K6"/>
    <mergeCell ref="I7:K7"/>
    <mergeCell ref="I9:I11"/>
    <mergeCell ref="I12:I14"/>
    <mergeCell ref="I15:I17"/>
    <mergeCell ref="I18:I20"/>
    <mergeCell ref="I21:I23"/>
    <mergeCell ref="A6:C6"/>
    <mergeCell ref="E6:G6"/>
    <mergeCell ref="E7:G7"/>
    <mergeCell ref="A9:A11"/>
    <mergeCell ref="E9:E11"/>
    <mergeCell ref="A18:A20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284"/>
  <sheetViews>
    <sheetView workbookViewId="0">
      <selection activeCell="V18" sqref="V18:W18"/>
    </sheetView>
  </sheetViews>
  <sheetFormatPr defaultRowHeight="12.75" x14ac:dyDescent="0.2"/>
  <cols>
    <col min="1" max="1" width="10.85546875" customWidth="1"/>
    <col min="5" max="5" width="11" customWidth="1"/>
    <col min="9" max="9" width="10.28515625" customWidth="1"/>
    <col min="13" max="13" width="10.42578125" customWidth="1"/>
    <col min="17" max="17" width="10.28515625" customWidth="1"/>
    <col min="21" max="21" width="10.140625" customWidth="1"/>
    <col min="25" max="25" width="10.85546875" customWidth="1"/>
    <col min="29" max="29" width="10.140625" customWidth="1"/>
    <col min="33" max="33" width="10.140625" customWidth="1"/>
    <col min="37" max="37" width="10.7109375" customWidth="1"/>
    <col min="41" max="41" width="10.42578125" customWidth="1"/>
    <col min="45" max="45" width="10.5703125" customWidth="1"/>
    <col min="49" max="49" width="10.42578125" customWidth="1"/>
    <col min="53" max="53" width="10.140625" customWidth="1"/>
    <col min="55" max="55" width="9" customWidth="1"/>
    <col min="57" max="57" width="10.42578125" customWidth="1"/>
    <col min="59" max="59" width="9.140625" style="118"/>
    <col min="60" max="60" width="9.140625" style="106"/>
    <col min="61" max="61" width="9.140625" style="51"/>
    <col min="62" max="62" width="11.28515625" customWidth="1"/>
    <col min="66" max="66" width="11.7109375" customWidth="1"/>
    <col min="70" max="70" width="10.85546875" customWidth="1"/>
    <col min="74" max="74" width="11" customWidth="1"/>
  </cols>
  <sheetData>
    <row r="1" spans="1:101" x14ac:dyDescent="0.2">
      <c r="A1" s="9"/>
      <c r="B1" s="48">
        <v>8.3149999999999995</v>
      </c>
      <c r="C1" s="15" t="s">
        <v>163</v>
      </c>
      <c r="D1" s="48">
        <v>25.04</v>
      </c>
      <c r="E1" s="12" t="s">
        <v>164</v>
      </c>
      <c r="F1" s="12" t="s">
        <v>165</v>
      </c>
      <c r="G1" s="12" t="s">
        <v>108</v>
      </c>
      <c r="H1" s="12" t="s">
        <v>166</v>
      </c>
      <c r="I1" s="58">
        <v>66.881900000000002</v>
      </c>
      <c r="J1" s="12" t="s">
        <v>167</v>
      </c>
      <c r="BG1" s="113"/>
      <c r="BH1" s="114"/>
    </row>
    <row r="2" spans="1:101" x14ac:dyDescent="0.2">
      <c r="A2" s="72" t="s">
        <v>0</v>
      </c>
      <c r="B2" s="34">
        <f>50/B1</f>
        <v>6.0132291040288637</v>
      </c>
      <c r="C2" s="34">
        <f t="shared" ref="C2:J2" si="0">50/C1</f>
        <v>2.9908957134482632</v>
      </c>
      <c r="D2" s="34">
        <f t="shared" si="0"/>
        <v>1.9968051118210863</v>
      </c>
      <c r="E2" s="49">
        <f t="shared" si="0"/>
        <v>1.5025257457786541</v>
      </c>
      <c r="F2" s="34">
        <f t="shared" si="0"/>
        <v>1.1972205328110259</v>
      </c>
      <c r="G2" s="34">
        <f t="shared" si="0"/>
        <v>1</v>
      </c>
      <c r="H2" s="34">
        <f t="shared" si="0"/>
        <v>0.85741232958929958</v>
      </c>
      <c r="I2" s="34">
        <f t="shared" si="0"/>
        <v>0.74758641725190222</v>
      </c>
      <c r="J2" s="34">
        <f t="shared" si="0"/>
        <v>0.66492102732958402</v>
      </c>
      <c r="BG2" s="113"/>
      <c r="BH2" s="114"/>
    </row>
    <row r="3" spans="1:101" x14ac:dyDescent="0.2">
      <c r="A3" s="72" t="s">
        <v>1</v>
      </c>
      <c r="B3" s="73"/>
      <c r="C3" s="43">
        <f t="shared" ref="C3:J3" si="1">B2/C2</f>
        <v>2.0105111244738425</v>
      </c>
      <c r="D3" s="73">
        <f t="shared" si="1"/>
        <v>1.4978405732948901</v>
      </c>
      <c r="E3" s="22">
        <f t="shared" si="1"/>
        <v>1.3289656549520765</v>
      </c>
      <c r="F3" s="22">
        <f t="shared" si="1"/>
        <v>1.2550116746250448</v>
      </c>
      <c r="G3" s="22">
        <f t="shared" si="1"/>
        <v>1.1972205328110259</v>
      </c>
      <c r="H3" s="22">
        <f t="shared" si="1"/>
        <v>1.1662999999999999</v>
      </c>
      <c r="I3" s="22">
        <f t="shared" si="1"/>
        <v>1.1469073137271715</v>
      </c>
      <c r="J3" s="22">
        <f t="shared" si="1"/>
        <v>1.1243236211889913</v>
      </c>
      <c r="L3" t="s">
        <v>540</v>
      </c>
      <c r="M3" s="89">
        <f>B2/J2</f>
        <v>9.043523752254961</v>
      </c>
      <c r="BG3" s="113"/>
      <c r="BH3" s="114"/>
    </row>
    <row r="4" spans="1:101" x14ac:dyDescent="0.2">
      <c r="A4" s="9"/>
      <c r="B4" s="50">
        <f>100/B2</f>
        <v>16.63</v>
      </c>
      <c r="C4" s="8">
        <f t="shared" ref="C4:J4" si="2">100/C2</f>
        <v>33.434800000000003</v>
      </c>
      <c r="D4" s="50">
        <f t="shared" si="2"/>
        <v>50.08</v>
      </c>
      <c r="E4" s="7">
        <f t="shared" si="2"/>
        <v>66.554599999999994</v>
      </c>
      <c r="F4" s="7">
        <f t="shared" si="2"/>
        <v>83.526799999999994</v>
      </c>
      <c r="G4" s="7">
        <f t="shared" si="2"/>
        <v>100</v>
      </c>
      <c r="H4" s="7">
        <f t="shared" si="2"/>
        <v>116.62999999999998</v>
      </c>
      <c r="I4" s="7">
        <f t="shared" si="2"/>
        <v>133.7638</v>
      </c>
      <c r="J4" s="7">
        <f t="shared" si="2"/>
        <v>150.3938</v>
      </c>
      <c r="BG4" s="113"/>
      <c r="BH4" s="114"/>
    </row>
    <row r="5" spans="1:101" x14ac:dyDescent="0.2">
      <c r="B5" s="51"/>
      <c r="C5" s="2"/>
      <c r="D5" s="51"/>
      <c r="E5" s="1"/>
      <c r="F5" s="1"/>
      <c r="G5" s="1"/>
      <c r="BG5" s="113"/>
      <c r="BH5" s="114"/>
    </row>
    <row r="6" spans="1:101" x14ac:dyDescent="0.2">
      <c r="A6" s="188" t="s">
        <v>60</v>
      </c>
      <c r="B6" s="188"/>
      <c r="C6" s="188"/>
      <c r="D6" s="52"/>
      <c r="E6" s="189" t="s">
        <v>97</v>
      </c>
      <c r="F6" s="189"/>
      <c r="G6" s="189"/>
      <c r="I6" s="189" t="s">
        <v>98</v>
      </c>
      <c r="J6" s="189"/>
      <c r="K6" s="189"/>
      <c r="M6" s="189" t="s">
        <v>99</v>
      </c>
      <c r="N6" s="189"/>
      <c r="O6" s="189"/>
      <c r="Q6" s="189" t="s">
        <v>100</v>
      </c>
      <c r="R6" s="189"/>
      <c r="S6" s="189"/>
      <c r="U6" s="189" t="s">
        <v>101</v>
      </c>
      <c r="V6" s="189"/>
      <c r="W6" s="189"/>
      <c r="Y6" s="189" t="s">
        <v>102</v>
      </c>
      <c r="Z6" s="189"/>
      <c r="AA6" s="189"/>
      <c r="AC6" s="189" t="s">
        <v>235</v>
      </c>
      <c r="AD6" s="189"/>
      <c r="AE6" s="189"/>
      <c r="AG6" s="189" t="s">
        <v>241</v>
      </c>
      <c r="AH6" s="189"/>
      <c r="AI6" s="189"/>
      <c r="AK6" s="189" t="s">
        <v>247</v>
      </c>
      <c r="AL6" s="189"/>
      <c r="AM6" s="189"/>
      <c r="AO6" s="189" t="s">
        <v>253</v>
      </c>
      <c r="AP6" s="189"/>
      <c r="AQ6" s="189"/>
      <c r="AS6" s="189" t="s">
        <v>265</v>
      </c>
      <c r="AT6" s="189"/>
      <c r="AU6" s="189"/>
      <c r="AW6" s="189" t="s">
        <v>270</v>
      </c>
      <c r="AX6" s="189"/>
      <c r="AY6" s="189"/>
      <c r="BA6" s="189" t="s">
        <v>271</v>
      </c>
      <c r="BB6" s="189"/>
      <c r="BC6" s="189"/>
      <c r="BE6" s="189" t="s">
        <v>277</v>
      </c>
      <c r="BF6" s="189"/>
      <c r="BG6" s="189"/>
      <c r="BH6" s="114"/>
      <c r="BJ6" s="189" t="s">
        <v>285</v>
      </c>
      <c r="BK6" s="189"/>
      <c r="BL6" s="189"/>
      <c r="BN6" s="189" t="s">
        <v>724</v>
      </c>
      <c r="BO6" s="189"/>
      <c r="BP6" s="189"/>
      <c r="BR6" s="189" t="s">
        <v>725</v>
      </c>
      <c r="BS6" s="189"/>
      <c r="BT6" s="189"/>
      <c r="BV6" s="189" t="s">
        <v>805</v>
      </c>
      <c r="BW6" s="189"/>
      <c r="BX6" s="189"/>
      <c r="BZ6" s="189" t="s">
        <v>808</v>
      </c>
      <c r="CA6" s="189"/>
      <c r="CB6" s="189"/>
      <c r="CD6" s="189" t="s">
        <v>814</v>
      </c>
      <c r="CE6" s="189"/>
      <c r="CF6" s="189"/>
      <c r="CH6" s="189" t="s">
        <v>816</v>
      </c>
      <c r="CI6" s="189"/>
      <c r="CJ6" s="189"/>
      <c r="CL6" s="189" t="s">
        <v>817</v>
      </c>
      <c r="CM6" s="189"/>
      <c r="CN6" s="189"/>
      <c r="CP6" s="189" t="s">
        <v>826</v>
      </c>
      <c r="CQ6" s="189"/>
      <c r="CR6" s="189"/>
      <c r="CT6" s="189" t="s">
        <v>827</v>
      </c>
      <c r="CU6" s="189"/>
      <c r="CV6" s="189"/>
    </row>
    <row r="7" spans="1:101" x14ac:dyDescent="0.2">
      <c r="B7" s="51"/>
      <c r="C7" s="2"/>
      <c r="D7" s="52"/>
      <c r="E7" s="185" t="s">
        <v>168</v>
      </c>
      <c r="F7" s="185"/>
      <c r="G7" s="185"/>
      <c r="I7" s="185" t="s">
        <v>196</v>
      </c>
      <c r="J7" s="185"/>
      <c r="K7" s="185"/>
      <c r="M7" s="185" t="s">
        <v>200</v>
      </c>
      <c r="N7" s="185"/>
      <c r="O7" s="185"/>
      <c r="Q7" s="185" t="s">
        <v>205</v>
      </c>
      <c r="R7" s="185"/>
      <c r="S7" s="185"/>
      <c r="U7" s="185" t="s">
        <v>217</v>
      </c>
      <c r="V7" s="185"/>
      <c r="W7" s="185"/>
      <c r="Y7" s="185" t="s">
        <v>230</v>
      </c>
      <c r="Z7" s="185"/>
      <c r="AA7" s="185"/>
      <c r="AC7" s="185" t="s">
        <v>236</v>
      </c>
      <c r="AD7" s="185"/>
      <c r="AE7" s="185"/>
      <c r="AG7" s="185" t="s">
        <v>242</v>
      </c>
      <c r="AH7" s="185"/>
      <c r="AI7" s="185"/>
      <c r="AK7" s="185" t="s">
        <v>248</v>
      </c>
      <c r="AL7" s="185"/>
      <c r="AM7" s="185"/>
      <c r="AO7" s="185" t="s">
        <v>252</v>
      </c>
      <c r="AP7" s="185"/>
      <c r="AQ7" s="185"/>
      <c r="AS7" s="185" t="s">
        <v>262</v>
      </c>
      <c r="AT7" s="185"/>
      <c r="AU7" s="185"/>
      <c r="AW7" s="185" t="s">
        <v>266</v>
      </c>
      <c r="AX7" s="185"/>
      <c r="AY7" s="185"/>
      <c r="BA7" s="185" t="s">
        <v>272</v>
      </c>
      <c r="BB7" s="185"/>
      <c r="BC7" s="185"/>
      <c r="BE7" s="185" t="s">
        <v>278</v>
      </c>
      <c r="BF7" s="185"/>
      <c r="BG7" s="185"/>
      <c r="BH7" s="114"/>
      <c r="BJ7" s="185" t="s">
        <v>283</v>
      </c>
      <c r="BK7" s="185"/>
      <c r="BL7" s="185"/>
      <c r="BN7" s="185" t="s">
        <v>728</v>
      </c>
      <c r="BO7" s="185"/>
      <c r="BP7" s="185"/>
      <c r="BR7" s="185" t="s">
        <v>726</v>
      </c>
      <c r="BS7" s="185"/>
      <c r="BT7" s="185"/>
      <c r="BV7" s="185" t="s">
        <v>727</v>
      </c>
      <c r="BW7" s="185"/>
      <c r="BX7" s="185"/>
      <c r="BZ7" s="185" t="s">
        <v>809</v>
      </c>
      <c r="CA7" s="185"/>
      <c r="CB7" s="185"/>
      <c r="CD7" s="185" t="s">
        <v>813</v>
      </c>
      <c r="CE7" s="185"/>
      <c r="CF7" s="185"/>
      <c r="CH7" s="185" t="s">
        <v>828</v>
      </c>
      <c r="CI7" s="185"/>
      <c r="CJ7" s="185"/>
      <c r="CL7" s="185" t="s">
        <v>818</v>
      </c>
      <c r="CM7" s="185"/>
      <c r="CN7" s="185"/>
      <c r="CP7" s="185" t="s">
        <v>829</v>
      </c>
      <c r="CQ7" s="185"/>
      <c r="CR7" s="185"/>
      <c r="CT7" s="185" t="s">
        <v>830</v>
      </c>
      <c r="CU7" s="185"/>
      <c r="CV7" s="185"/>
    </row>
    <row r="8" spans="1:101" x14ac:dyDescent="0.2">
      <c r="A8" s="7" t="s">
        <v>2</v>
      </c>
      <c r="B8" s="8" t="s">
        <v>3</v>
      </c>
      <c r="C8" s="20" t="s">
        <v>0</v>
      </c>
      <c r="D8" s="52"/>
      <c r="E8" s="7" t="s">
        <v>2</v>
      </c>
      <c r="F8" s="7" t="s">
        <v>3</v>
      </c>
      <c r="G8" s="21" t="s">
        <v>0</v>
      </c>
      <c r="I8" s="7" t="s">
        <v>2</v>
      </c>
      <c r="J8" s="7" t="s">
        <v>3</v>
      </c>
      <c r="K8" s="21" t="s">
        <v>0</v>
      </c>
      <c r="M8" s="7" t="s">
        <v>2</v>
      </c>
      <c r="N8" s="7" t="s">
        <v>3</v>
      </c>
      <c r="O8" s="21" t="s">
        <v>0</v>
      </c>
      <c r="Q8" s="7" t="s">
        <v>2</v>
      </c>
      <c r="R8" s="7" t="s">
        <v>3</v>
      </c>
      <c r="S8" s="21" t="s">
        <v>0</v>
      </c>
      <c r="U8" s="7" t="s">
        <v>2</v>
      </c>
      <c r="V8" s="7" t="s">
        <v>3</v>
      </c>
      <c r="W8" s="21" t="s">
        <v>0</v>
      </c>
      <c r="Y8" s="7" t="s">
        <v>2</v>
      </c>
      <c r="Z8" s="7" t="s">
        <v>3</v>
      </c>
      <c r="AA8" s="21" t="s">
        <v>0</v>
      </c>
      <c r="AC8" s="7" t="s">
        <v>2</v>
      </c>
      <c r="AD8" s="7" t="s">
        <v>3</v>
      </c>
      <c r="AE8" s="21" t="s">
        <v>0</v>
      </c>
      <c r="AG8" s="7" t="s">
        <v>2</v>
      </c>
      <c r="AH8" s="7" t="s">
        <v>3</v>
      </c>
      <c r="AI8" s="21" t="s">
        <v>0</v>
      </c>
      <c r="AK8" s="7" t="s">
        <v>2</v>
      </c>
      <c r="AL8" s="7" t="s">
        <v>3</v>
      </c>
      <c r="AM8" s="21" t="s">
        <v>0</v>
      </c>
      <c r="AO8" s="7" t="s">
        <v>2</v>
      </c>
      <c r="AP8" s="7" t="s">
        <v>3</v>
      </c>
      <c r="AQ8" s="21" t="s">
        <v>0</v>
      </c>
      <c r="AS8" s="7" t="s">
        <v>2</v>
      </c>
      <c r="AT8" s="7" t="s">
        <v>3</v>
      </c>
      <c r="AU8" s="21" t="s">
        <v>0</v>
      </c>
      <c r="AW8" s="7" t="s">
        <v>2</v>
      </c>
      <c r="AX8" s="7" t="s">
        <v>3</v>
      </c>
      <c r="AY8" s="21" t="s">
        <v>0</v>
      </c>
      <c r="BA8" s="7" t="s">
        <v>2</v>
      </c>
      <c r="BB8" s="7" t="s">
        <v>3</v>
      </c>
      <c r="BC8" s="21" t="s">
        <v>0</v>
      </c>
      <c r="BE8" s="7" t="s">
        <v>2</v>
      </c>
      <c r="BF8" s="8" t="s">
        <v>3</v>
      </c>
      <c r="BG8" s="20" t="s">
        <v>0</v>
      </c>
      <c r="BJ8" s="7" t="s">
        <v>2</v>
      </c>
      <c r="BK8" s="8" t="s">
        <v>3</v>
      </c>
      <c r="BL8" s="20" t="s">
        <v>0</v>
      </c>
      <c r="BN8" s="7" t="s">
        <v>2</v>
      </c>
      <c r="BO8" s="8" t="s">
        <v>3</v>
      </c>
      <c r="BP8" s="20" t="s">
        <v>0</v>
      </c>
      <c r="BR8" s="7" t="s">
        <v>2</v>
      </c>
      <c r="BS8" s="8" t="s">
        <v>3</v>
      </c>
      <c r="BT8" s="20" t="s">
        <v>0</v>
      </c>
      <c r="BV8" s="7" t="s">
        <v>2</v>
      </c>
      <c r="BW8" s="8" t="s">
        <v>3</v>
      </c>
      <c r="BX8" s="20" t="s">
        <v>0</v>
      </c>
      <c r="BZ8" s="7" t="s">
        <v>2</v>
      </c>
      <c r="CA8" s="8" t="s">
        <v>3</v>
      </c>
      <c r="CB8" s="20" t="s">
        <v>0</v>
      </c>
      <c r="CD8" s="7" t="s">
        <v>2</v>
      </c>
      <c r="CE8" s="8" t="s">
        <v>3</v>
      </c>
      <c r="CF8" s="20" t="s">
        <v>0</v>
      </c>
      <c r="CH8" s="7" t="s">
        <v>2</v>
      </c>
      <c r="CI8" s="8" t="s">
        <v>3</v>
      </c>
      <c r="CJ8" s="20" t="s">
        <v>0</v>
      </c>
      <c r="CL8" s="7" t="s">
        <v>2</v>
      </c>
      <c r="CM8" s="8" t="s">
        <v>3</v>
      </c>
      <c r="CN8" s="20" t="s">
        <v>0</v>
      </c>
      <c r="CP8" s="7" t="s">
        <v>2</v>
      </c>
      <c r="CQ8" s="8" t="s">
        <v>3</v>
      </c>
      <c r="CR8" s="20" t="s">
        <v>0</v>
      </c>
      <c r="CT8" s="7" t="s">
        <v>2</v>
      </c>
      <c r="CU8" s="8" t="s">
        <v>3</v>
      </c>
      <c r="CV8" s="20" t="s">
        <v>0</v>
      </c>
    </row>
    <row r="9" spans="1:101" x14ac:dyDescent="0.2">
      <c r="A9" s="187" t="s">
        <v>159</v>
      </c>
      <c r="B9" s="18" t="s">
        <v>159</v>
      </c>
      <c r="C9" s="18" t="s">
        <v>174</v>
      </c>
      <c r="D9" s="53"/>
      <c r="E9" s="187" t="s">
        <v>44</v>
      </c>
      <c r="F9" s="29" t="s">
        <v>44</v>
      </c>
      <c r="G9" s="29" t="s">
        <v>170</v>
      </c>
      <c r="H9" s="39"/>
      <c r="I9" s="232" t="s">
        <v>72</v>
      </c>
      <c r="J9" s="26" t="s">
        <v>71</v>
      </c>
      <c r="K9" s="26" t="s">
        <v>197</v>
      </c>
      <c r="M9" s="187" t="s">
        <v>70</v>
      </c>
      <c r="N9" s="26" t="s">
        <v>78</v>
      </c>
      <c r="O9" s="26" t="s">
        <v>201</v>
      </c>
      <c r="Q9" s="187" t="s">
        <v>35</v>
      </c>
      <c r="R9" s="29" t="s">
        <v>39</v>
      </c>
      <c r="S9" s="29" t="s">
        <v>206</v>
      </c>
      <c r="U9" s="187" t="s">
        <v>907</v>
      </c>
      <c r="V9" s="26" t="s">
        <v>972</v>
      </c>
      <c r="W9" s="26" t="s">
        <v>220</v>
      </c>
      <c r="Y9" s="187" t="s">
        <v>72</v>
      </c>
      <c r="Z9" s="29" t="s">
        <v>72</v>
      </c>
      <c r="AA9" s="29" t="s">
        <v>231</v>
      </c>
      <c r="AC9" s="187" t="s">
        <v>72</v>
      </c>
      <c r="AD9" s="29" t="s">
        <v>72</v>
      </c>
      <c r="AE9" s="29" t="s">
        <v>238</v>
      </c>
      <c r="AG9" s="187" t="s">
        <v>70</v>
      </c>
      <c r="AH9" s="26" t="s">
        <v>76</v>
      </c>
      <c r="AI9" s="26" t="s">
        <v>243</v>
      </c>
      <c r="AK9" s="187" t="s">
        <v>70</v>
      </c>
      <c r="AL9" s="29" t="s">
        <v>203</v>
      </c>
      <c r="AM9" s="29" t="s">
        <v>250</v>
      </c>
      <c r="AO9" s="187" t="s">
        <v>35</v>
      </c>
      <c r="AP9" s="29" t="s">
        <v>88</v>
      </c>
      <c r="AQ9" s="29" t="s">
        <v>258</v>
      </c>
      <c r="AS9" s="187" t="s">
        <v>44</v>
      </c>
      <c r="AT9" s="29" t="s">
        <v>45</v>
      </c>
      <c r="AU9" s="29" t="s">
        <v>263</v>
      </c>
      <c r="AW9" s="232" t="s">
        <v>44</v>
      </c>
      <c r="AX9" s="26" t="s">
        <v>45</v>
      </c>
      <c r="AY9" s="26" t="s">
        <v>267</v>
      </c>
      <c r="BA9" s="232" t="s">
        <v>44</v>
      </c>
      <c r="BB9" s="26" t="s">
        <v>44</v>
      </c>
      <c r="BC9" s="26" t="s">
        <v>274</v>
      </c>
      <c r="BE9" s="187" t="s">
        <v>10</v>
      </c>
      <c r="BF9" s="18" t="s">
        <v>10</v>
      </c>
      <c r="BG9" s="115" t="s">
        <v>179</v>
      </c>
      <c r="BH9" s="106">
        <v>1</v>
      </c>
      <c r="BI9" s="51">
        <v>1</v>
      </c>
      <c r="BJ9" s="187" t="s">
        <v>10</v>
      </c>
      <c r="BK9" s="18" t="s">
        <v>10</v>
      </c>
      <c r="BL9" s="18" t="s">
        <v>179</v>
      </c>
      <c r="BN9" s="216" t="s">
        <v>110</v>
      </c>
      <c r="BO9" s="5" t="s">
        <v>555</v>
      </c>
      <c r="BP9" s="5" t="s">
        <v>729</v>
      </c>
      <c r="BQ9" s="14"/>
      <c r="BR9" s="216" t="s">
        <v>110</v>
      </c>
      <c r="BS9" s="25" t="s">
        <v>555</v>
      </c>
      <c r="BT9" s="25" t="s">
        <v>573</v>
      </c>
      <c r="BU9" s="14"/>
      <c r="BV9" s="216" t="s">
        <v>110</v>
      </c>
      <c r="BW9" s="5" t="s">
        <v>730</v>
      </c>
      <c r="BX9" s="5" t="s">
        <v>170</v>
      </c>
      <c r="BZ9" s="216" t="s">
        <v>385</v>
      </c>
      <c r="CA9" s="5" t="s">
        <v>389</v>
      </c>
      <c r="CB9" s="5" t="s">
        <v>429</v>
      </c>
      <c r="CD9" s="216" t="s">
        <v>110</v>
      </c>
      <c r="CE9" s="5" t="s">
        <v>110</v>
      </c>
      <c r="CF9" s="5" t="s">
        <v>429</v>
      </c>
      <c r="CH9" s="216" t="s">
        <v>565</v>
      </c>
      <c r="CI9" s="25" t="s">
        <v>570</v>
      </c>
      <c r="CJ9" s="25" t="s">
        <v>815</v>
      </c>
      <c r="CL9" s="216" t="s">
        <v>819</v>
      </c>
      <c r="CM9" s="5" t="s">
        <v>159</v>
      </c>
      <c r="CN9" s="5" t="s">
        <v>820</v>
      </c>
      <c r="CP9" s="216" t="s">
        <v>565</v>
      </c>
      <c r="CQ9" s="5" t="s">
        <v>570</v>
      </c>
      <c r="CR9" s="5" t="s">
        <v>821</v>
      </c>
      <c r="CT9" s="216" t="s">
        <v>565</v>
      </c>
      <c r="CU9" s="5" t="s">
        <v>566</v>
      </c>
      <c r="CV9" s="5" t="s">
        <v>821</v>
      </c>
    </row>
    <row r="10" spans="1:101" x14ac:dyDescent="0.2">
      <c r="A10" s="187"/>
      <c r="B10" s="5" t="s">
        <v>175</v>
      </c>
      <c r="C10" s="5" t="s">
        <v>176</v>
      </c>
      <c r="D10" s="53"/>
      <c r="E10" s="187"/>
      <c r="F10" s="26" t="s">
        <v>45</v>
      </c>
      <c r="G10" s="26" t="s">
        <v>171</v>
      </c>
      <c r="H10" s="39"/>
      <c r="I10" s="232"/>
      <c r="J10" s="26" t="s">
        <v>72</v>
      </c>
      <c r="K10" s="26" t="s">
        <v>198</v>
      </c>
      <c r="M10" s="187"/>
      <c r="N10" s="4" t="s">
        <v>70</v>
      </c>
      <c r="O10" s="4" t="s">
        <v>202</v>
      </c>
      <c r="Q10" s="187"/>
      <c r="R10" s="4" t="s">
        <v>35</v>
      </c>
      <c r="S10" s="4" t="s">
        <v>207</v>
      </c>
      <c r="U10" s="187"/>
      <c r="V10" s="4" t="s">
        <v>973</v>
      </c>
      <c r="W10" s="4" t="s">
        <v>221</v>
      </c>
      <c r="Y10" s="187"/>
      <c r="Z10" s="26" t="s">
        <v>232</v>
      </c>
      <c r="AA10" s="26" t="s">
        <v>233</v>
      </c>
      <c r="AC10" s="187"/>
      <c r="AD10" s="4" t="s">
        <v>232</v>
      </c>
      <c r="AE10" s="4" t="s">
        <v>239</v>
      </c>
      <c r="AG10" s="187"/>
      <c r="AH10" s="4" t="s">
        <v>244</v>
      </c>
      <c r="AI10" s="4" t="s">
        <v>246</v>
      </c>
      <c r="AK10" s="187"/>
      <c r="AL10" s="4" t="s">
        <v>244</v>
      </c>
      <c r="AM10" s="4" t="s">
        <v>233</v>
      </c>
      <c r="AO10" s="187"/>
      <c r="AP10" s="4" t="s">
        <v>92</v>
      </c>
      <c r="AQ10" s="4" t="s">
        <v>240</v>
      </c>
      <c r="AS10" s="187"/>
      <c r="AT10" s="4" t="s">
        <v>49</v>
      </c>
      <c r="AU10" s="4" t="s">
        <v>256</v>
      </c>
      <c r="AW10" s="232"/>
      <c r="AX10" s="26" t="s">
        <v>49</v>
      </c>
      <c r="AY10" s="26" t="s">
        <v>268</v>
      </c>
      <c r="BA10" s="232"/>
      <c r="BB10" s="26" t="s">
        <v>45</v>
      </c>
      <c r="BC10" s="26" t="s">
        <v>275</v>
      </c>
      <c r="BE10" s="187"/>
      <c r="BF10" s="5" t="s">
        <v>180</v>
      </c>
      <c r="BG10" s="116" t="s">
        <v>181</v>
      </c>
      <c r="BJ10" s="187"/>
      <c r="BK10" s="5" t="s">
        <v>180</v>
      </c>
      <c r="BL10" s="5" t="s">
        <v>181</v>
      </c>
      <c r="BN10" s="217"/>
      <c r="BO10" s="60"/>
      <c r="BP10" s="68"/>
      <c r="BQ10" s="14"/>
      <c r="BR10" s="217"/>
      <c r="BS10" s="60"/>
      <c r="BT10" s="68"/>
      <c r="BU10" s="14"/>
      <c r="BV10" s="217"/>
      <c r="BW10" s="60"/>
      <c r="BX10" s="68"/>
      <c r="BZ10" s="217"/>
      <c r="CA10" s="60"/>
      <c r="CB10" s="68"/>
      <c r="CD10" s="217"/>
      <c r="CE10" s="60"/>
      <c r="CF10" s="68"/>
      <c r="CH10" s="217"/>
      <c r="CI10" s="60"/>
      <c r="CJ10" s="68"/>
      <c r="CL10" s="217"/>
      <c r="CM10" s="60"/>
      <c r="CN10" s="68"/>
      <c r="CP10" s="217"/>
      <c r="CQ10" s="60"/>
      <c r="CR10" s="68"/>
      <c r="CT10" s="217"/>
      <c r="CU10" s="60"/>
      <c r="CV10" s="68"/>
    </row>
    <row r="11" spans="1:101" x14ac:dyDescent="0.2">
      <c r="A11" s="187"/>
      <c r="B11" s="5" t="s">
        <v>177</v>
      </c>
      <c r="C11" s="5" t="s">
        <v>178</v>
      </c>
      <c r="D11" s="53"/>
      <c r="E11" s="187"/>
      <c r="F11" s="4" t="s">
        <v>172</v>
      </c>
      <c r="G11" s="4" t="s">
        <v>173</v>
      </c>
      <c r="H11" s="39"/>
      <c r="I11" s="232"/>
      <c r="J11" s="26" t="s">
        <v>82</v>
      </c>
      <c r="K11" s="26" t="s">
        <v>199</v>
      </c>
      <c r="M11" s="187"/>
      <c r="N11" s="4" t="s">
        <v>203</v>
      </c>
      <c r="O11" s="4" t="s">
        <v>204</v>
      </c>
      <c r="Q11" s="187"/>
      <c r="R11" s="4" t="s">
        <v>88</v>
      </c>
      <c r="S11" s="4" t="s">
        <v>208</v>
      </c>
      <c r="U11" s="187"/>
      <c r="V11" s="4" t="s">
        <v>39</v>
      </c>
      <c r="W11" s="4" t="s">
        <v>222</v>
      </c>
      <c r="Y11" s="187"/>
      <c r="Z11" s="26" t="s">
        <v>71</v>
      </c>
      <c r="AA11" s="26" t="s">
        <v>234</v>
      </c>
      <c r="AC11" s="187"/>
      <c r="AD11" s="4" t="s">
        <v>71</v>
      </c>
      <c r="AE11" s="4" t="s">
        <v>240</v>
      </c>
      <c r="AG11" s="187"/>
      <c r="AH11" s="4" t="s">
        <v>245</v>
      </c>
      <c r="AI11" s="4" t="s">
        <v>222</v>
      </c>
      <c r="AK11" s="187"/>
      <c r="AL11" s="26" t="s">
        <v>245</v>
      </c>
      <c r="AM11" s="26" t="s">
        <v>251</v>
      </c>
      <c r="AO11" s="187"/>
      <c r="AP11" s="4" t="s">
        <v>219</v>
      </c>
      <c r="AQ11" s="4" t="s">
        <v>239</v>
      </c>
      <c r="AS11" s="187"/>
      <c r="AT11" s="4" t="s">
        <v>44</v>
      </c>
      <c r="AU11" s="4" t="s">
        <v>264</v>
      </c>
      <c r="AW11" s="232"/>
      <c r="AX11" s="26" t="s">
        <v>44</v>
      </c>
      <c r="AY11" s="26" t="s">
        <v>269</v>
      </c>
      <c r="BA11" s="232"/>
      <c r="BB11" s="26" t="s">
        <v>172</v>
      </c>
      <c r="BC11" s="26" t="s">
        <v>276</v>
      </c>
      <c r="BE11" s="187"/>
      <c r="BF11" s="5" t="s">
        <v>182</v>
      </c>
      <c r="BG11" s="116" t="s">
        <v>183</v>
      </c>
      <c r="BJ11" s="187"/>
      <c r="BK11" s="5" t="s">
        <v>182</v>
      </c>
      <c r="BL11" s="5" t="s">
        <v>183</v>
      </c>
      <c r="BN11" s="218"/>
      <c r="BO11" s="60"/>
      <c r="BP11" s="68"/>
      <c r="BQ11" s="14"/>
      <c r="BR11" s="218"/>
      <c r="BS11" s="60"/>
      <c r="BT11" s="68"/>
      <c r="BV11" s="218"/>
      <c r="BW11" s="60"/>
      <c r="BX11" s="68"/>
      <c r="BZ11" s="218"/>
      <c r="CA11" s="60"/>
      <c r="CB11" s="68"/>
      <c r="CD11" s="218"/>
      <c r="CE11" s="60"/>
      <c r="CF11" s="68"/>
      <c r="CH11" s="218"/>
      <c r="CI11" s="60"/>
      <c r="CJ11" s="68"/>
      <c r="CL11" s="217"/>
      <c r="CM11" s="60"/>
      <c r="CN11" s="68"/>
      <c r="CP11" s="218"/>
      <c r="CQ11" s="60"/>
      <c r="CR11" s="68"/>
      <c r="CT11" s="218"/>
      <c r="CU11" s="60"/>
      <c r="CV11" s="68"/>
    </row>
    <row r="12" spans="1:101" x14ac:dyDescent="0.2">
      <c r="D12" s="53"/>
      <c r="E12" s="60" t="s">
        <v>121</v>
      </c>
      <c r="F12" s="5" t="s">
        <v>169</v>
      </c>
      <c r="I12" s="60" t="s">
        <v>121</v>
      </c>
      <c r="J12" s="5" t="s">
        <v>169</v>
      </c>
      <c r="K12" s="40"/>
      <c r="M12" s="60" t="s">
        <v>121</v>
      </c>
      <c r="N12" s="5" t="s">
        <v>169</v>
      </c>
      <c r="O12" s="39"/>
      <c r="Q12" s="187" t="s">
        <v>159</v>
      </c>
      <c r="R12" s="29" t="s">
        <v>159</v>
      </c>
      <c r="S12" s="29" t="s">
        <v>174</v>
      </c>
      <c r="U12" s="187" t="s">
        <v>159</v>
      </c>
      <c r="V12" s="29" t="s">
        <v>159</v>
      </c>
      <c r="W12" s="29" t="s">
        <v>225</v>
      </c>
      <c r="Y12" s="60" t="s">
        <v>121</v>
      </c>
      <c r="Z12" s="5" t="s">
        <v>218</v>
      </c>
      <c r="AA12" s="39"/>
      <c r="AC12" s="60" t="s">
        <v>121</v>
      </c>
      <c r="AD12" s="5" t="s">
        <v>237</v>
      </c>
      <c r="AE12" s="39"/>
      <c r="AG12" s="60" t="s">
        <v>121</v>
      </c>
      <c r="AH12" s="5" t="s">
        <v>237</v>
      </c>
      <c r="AI12" s="39"/>
      <c r="AK12" s="60" t="s">
        <v>121</v>
      </c>
      <c r="AL12" s="5" t="s">
        <v>249</v>
      </c>
      <c r="AM12" s="39"/>
      <c r="AO12" s="187" t="s">
        <v>159</v>
      </c>
      <c r="AP12" s="29" t="s">
        <v>159</v>
      </c>
      <c r="AQ12" s="29" t="s">
        <v>225</v>
      </c>
      <c r="AS12" s="60" t="s">
        <v>121</v>
      </c>
      <c r="AT12" s="5" t="s">
        <v>237</v>
      </c>
      <c r="AU12" s="39"/>
      <c r="AW12" s="60" t="s">
        <v>121</v>
      </c>
      <c r="AX12" s="5" t="s">
        <v>218</v>
      </c>
      <c r="AY12" s="39"/>
      <c r="BA12" s="60" t="s">
        <v>121</v>
      </c>
      <c r="BB12" s="5" t="s">
        <v>273</v>
      </c>
      <c r="BC12" s="39"/>
      <c r="BE12" s="187" t="s">
        <v>160</v>
      </c>
      <c r="BF12" s="18" t="s">
        <v>184</v>
      </c>
      <c r="BG12" s="115" t="s">
        <v>179</v>
      </c>
      <c r="BH12" s="106">
        <v>2</v>
      </c>
      <c r="BI12" s="51">
        <v>2</v>
      </c>
      <c r="BJ12" s="187" t="s">
        <v>160</v>
      </c>
      <c r="BK12" s="18" t="s">
        <v>184</v>
      </c>
      <c r="BL12" s="18" t="s">
        <v>179</v>
      </c>
      <c r="BN12" s="107" t="s">
        <v>41</v>
      </c>
      <c r="BO12" s="108" t="s">
        <v>273</v>
      </c>
      <c r="BP12" s="14"/>
      <c r="BQ12" s="14"/>
      <c r="BR12" s="107" t="s">
        <v>41</v>
      </c>
      <c r="BS12" s="108" t="s">
        <v>237</v>
      </c>
      <c r="BT12" s="14"/>
      <c r="BV12" s="107" t="s">
        <v>41</v>
      </c>
      <c r="BW12" s="108" t="s">
        <v>249</v>
      </c>
      <c r="BX12" s="14"/>
      <c r="BZ12" s="107" t="s">
        <v>41</v>
      </c>
      <c r="CA12" s="108" t="s">
        <v>640</v>
      </c>
      <c r="CB12" s="14"/>
      <c r="CD12" s="107" t="s">
        <v>41</v>
      </c>
      <c r="CE12" s="108" t="s">
        <v>218</v>
      </c>
      <c r="CF12" s="14"/>
      <c r="CH12" s="107" t="s">
        <v>41</v>
      </c>
      <c r="CI12" s="108" t="s">
        <v>218</v>
      </c>
      <c r="CJ12" s="14"/>
      <c r="CL12" s="217"/>
      <c r="CM12" s="5" t="s">
        <v>39</v>
      </c>
      <c r="CN12" s="5" t="s">
        <v>821</v>
      </c>
      <c r="CP12" s="107" t="s">
        <v>41</v>
      </c>
      <c r="CQ12" s="108" t="s">
        <v>237</v>
      </c>
      <c r="CR12" s="14"/>
      <c r="CT12" s="107" t="s">
        <v>41</v>
      </c>
      <c r="CU12" s="108" t="s">
        <v>282</v>
      </c>
      <c r="CV12" s="14"/>
    </row>
    <row r="13" spans="1:101" x14ac:dyDescent="0.2">
      <c r="A13" s="230" t="s">
        <v>10</v>
      </c>
      <c r="B13" s="18" t="s">
        <v>10</v>
      </c>
      <c r="C13" s="18" t="s">
        <v>179</v>
      </c>
      <c r="D13" s="53"/>
      <c r="Q13" s="187"/>
      <c r="R13" s="4" t="s">
        <v>177</v>
      </c>
      <c r="S13" s="4" t="s">
        <v>178</v>
      </c>
      <c r="U13" s="187"/>
      <c r="V13" s="4" t="s">
        <v>175</v>
      </c>
      <c r="W13" s="4" t="s">
        <v>212</v>
      </c>
      <c r="AO13" s="187"/>
      <c r="AP13" s="4" t="s">
        <v>175</v>
      </c>
      <c r="AQ13" s="4" t="s">
        <v>212</v>
      </c>
      <c r="BE13" s="187"/>
      <c r="BF13" s="5" t="s">
        <v>185</v>
      </c>
      <c r="BG13" s="116" t="s">
        <v>183</v>
      </c>
      <c r="BJ13" s="187"/>
      <c r="BK13" s="5" t="s">
        <v>185</v>
      </c>
      <c r="BL13" s="5" t="s">
        <v>183</v>
      </c>
      <c r="BN13" s="14"/>
      <c r="BO13" s="14"/>
      <c r="BP13" s="14"/>
      <c r="BQ13" s="14"/>
      <c r="BR13" s="14"/>
      <c r="BV13" s="14"/>
      <c r="CL13" s="217"/>
      <c r="CM13" s="60"/>
      <c r="CN13" s="60"/>
    </row>
    <row r="14" spans="1:101" x14ac:dyDescent="0.2">
      <c r="A14" s="230"/>
      <c r="B14" s="43" t="s">
        <v>180</v>
      </c>
      <c r="C14" s="43" t="s">
        <v>181</v>
      </c>
      <c r="D14" s="53"/>
      <c r="E14" s="25" t="s">
        <v>159</v>
      </c>
      <c r="F14" s="25" t="s">
        <v>174</v>
      </c>
      <c r="Q14" s="187"/>
      <c r="R14" s="4" t="s">
        <v>175</v>
      </c>
      <c r="S14" s="4" t="s">
        <v>212</v>
      </c>
      <c r="U14" s="187"/>
      <c r="V14" s="4" t="s">
        <v>177</v>
      </c>
      <c r="W14" s="4" t="s">
        <v>178</v>
      </c>
      <c r="Y14" s="25" t="s">
        <v>159</v>
      </c>
      <c r="Z14" s="25" t="s">
        <v>174</v>
      </c>
      <c r="AC14" s="25" t="s">
        <v>159</v>
      </c>
      <c r="AD14" s="25" t="s">
        <v>174</v>
      </c>
      <c r="AK14" s="25" t="s">
        <v>159</v>
      </c>
      <c r="AL14" s="25" t="s">
        <v>174</v>
      </c>
      <c r="AO14" s="187"/>
      <c r="AP14" s="4" t="s">
        <v>177</v>
      </c>
      <c r="AQ14" s="4" t="s">
        <v>178</v>
      </c>
      <c r="AS14" s="25" t="s">
        <v>159</v>
      </c>
      <c r="AT14" s="25" t="s">
        <v>174</v>
      </c>
      <c r="BE14" s="187"/>
      <c r="BF14" s="5" t="s">
        <v>186</v>
      </c>
      <c r="BG14" s="116" t="s">
        <v>181</v>
      </c>
      <c r="BJ14" s="187"/>
      <c r="BK14" s="5" t="s">
        <v>186</v>
      </c>
      <c r="BL14" s="5" t="s">
        <v>181</v>
      </c>
      <c r="BN14" s="15" t="s">
        <v>159</v>
      </c>
      <c r="BO14" s="15" t="s">
        <v>174</v>
      </c>
      <c r="BP14" s="246" t="s">
        <v>731</v>
      </c>
      <c r="BQ14" s="247"/>
      <c r="BR14" s="14"/>
      <c r="BV14" s="25" t="s">
        <v>159</v>
      </c>
      <c r="BW14" s="25" t="s">
        <v>174</v>
      </c>
      <c r="BZ14" s="15" t="s">
        <v>389</v>
      </c>
      <c r="CA14" s="15" t="s">
        <v>429</v>
      </c>
      <c r="CD14" s="25" t="s">
        <v>110</v>
      </c>
      <c r="CE14" s="25" t="s">
        <v>429</v>
      </c>
      <c r="CL14" s="217"/>
      <c r="CM14" s="60"/>
      <c r="CN14" s="60"/>
      <c r="CP14" s="25" t="s">
        <v>570</v>
      </c>
      <c r="CQ14" s="25" t="s">
        <v>821</v>
      </c>
      <c r="CT14" s="15" t="s">
        <v>566</v>
      </c>
      <c r="CU14" s="15" t="s">
        <v>821</v>
      </c>
    </row>
    <row r="15" spans="1:101" ht="12" customHeight="1" x14ac:dyDescent="0.2">
      <c r="A15" s="230"/>
      <c r="B15" s="43" t="s">
        <v>182</v>
      </c>
      <c r="C15" s="43" t="s">
        <v>183</v>
      </c>
      <c r="D15" s="53"/>
      <c r="E15" s="26" t="s">
        <v>44</v>
      </c>
      <c r="F15" s="26" t="s">
        <v>170</v>
      </c>
      <c r="Q15" s="187" t="s">
        <v>120</v>
      </c>
      <c r="R15" s="26" t="s">
        <v>137</v>
      </c>
      <c r="S15" s="26" t="s">
        <v>209</v>
      </c>
      <c r="U15" s="187" t="s">
        <v>120</v>
      </c>
      <c r="V15" s="29" t="s">
        <v>906</v>
      </c>
      <c r="W15" s="29" t="s">
        <v>223</v>
      </c>
      <c r="Y15" s="26" t="s">
        <v>72</v>
      </c>
      <c r="Z15" s="26" t="s">
        <v>231</v>
      </c>
      <c r="AC15" s="26" t="s">
        <v>72</v>
      </c>
      <c r="AD15" s="26" t="s">
        <v>238</v>
      </c>
      <c r="AK15" s="26" t="s">
        <v>203</v>
      </c>
      <c r="AL15" s="26" t="s">
        <v>250</v>
      </c>
      <c r="AO15" s="187" t="s">
        <v>120</v>
      </c>
      <c r="AP15" s="29" t="s">
        <v>138</v>
      </c>
      <c r="AQ15" s="29" t="s">
        <v>254</v>
      </c>
      <c r="AS15" s="26" t="s">
        <v>45</v>
      </c>
      <c r="AT15" s="26" t="s">
        <v>263</v>
      </c>
      <c r="BE15" s="187" t="s">
        <v>161</v>
      </c>
      <c r="BF15" s="25" t="s">
        <v>123</v>
      </c>
      <c r="BG15" s="117" t="s">
        <v>187</v>
      </c>
      <c r="BJ15" s="187" t="s">
        <v>161</v>
      </c>
      <c r="BK15" s="25" t="s">
        <v>123</v>
      </c>
      <c r="BL15" s="25" t="s">
        <v>187</v>
      </c>
      <c r="BN15" s="15" t="s">
        <v>555</v>
      </c>
      <c r="BO15" s="15" t="s">
        <v>729</v>
      </c>
      <c r="BP15" s="14"/>
      <c r="BQ15" s="14"/>
      <c r="BR15" s="14"/>
      <c r="BV15" s="25" t="s">
        <v>730</v>
      </c>
      <c r="BW15" s="25" t="s">
        <v>170</v>
      </c>
      <c r="BZ15" s="15" t="s">
        <v>159</v>
      </c>
      <c r="CA15" s="15" t="s">
        <v>174</v>
      </c>
      <c r="CB15" s="241" t="s">
        <v>810</v>
      </c>
      <c r="CC15" s="242"/>
      <c r="CD15" s="25" t="s">
        <v>159</v>
      </c>
      <c r="CE15" s="25" t="s">
        <v>174</v>
      </c>
      <c r="CL15" s="217"/>
      <c r="CM15" s="57">
        <v>359</v>
      </c>
      <c r="CN15" s="25" t="s">
        <v>822</v>
      </c>
      <c r="CP15" s="25" t="s">
        <v>159</v>
      </c>
      <c r="CQ15" s="25" t="s">
        <v>174</v>
      </c>
      <c r="CT15" s="15" t="s">
        <v>159</v>
      </c>
      <c r="CU15" s="15" t="s">
        <v>174</v>
      </c>
      <c r="CV15" s="241" t="s">
        <v>831</v>
      </c>
      <c r="CW15" s="242"/>
    </row>
    <row r="16" spans="1:101" x14ac:dyDescent="0.2">
      <c r="A16" s="230" t="s">
        <v>160</v>
      </c>
      <c r="B16" s="18" t="s">
        <v>184</v>
      </c>
      <c r="C16" s="18" t="s">
        <v>179</v>
      </c>
      <c r="D16" s="53"/>
      <c r="E16" s="25" t="s">
        <v>10</v>
      </c>
      <c r="F16" s="25" t="s">
        <v>179</v>
      </c>
      <c r="Q16" s="187"/>
      <c r="R16" s="4" t="s">
        <v>156</v>
      </c>
      <c r="S16" s="4" t="s">
        <v>210</v>
      </c>
      <c r="U16" s="187"/>
      <c r="V16" s="4" t="s">
        <v>226</v>
      </c>
      <c r="W16" s="4" t="s">
        <v>227</v>
      </c>
      <c r="Y16" s="25" t="s">
        <v>10</v>
      </c>
      <c r="Z16" s="25" t="s">
        <v>179</v>
      </c>
      <c r="AC16" s="25" t="s">
        <v>10</v>
      </c>
      <c r="AD16" s="25" t="s">
        <v>179</v>
      </c>
      <c r="AK16" s="25" t="s">
        <v>10</v>
      </c>
      <c r="AL16" s="25" t="s">
        <v>179</v>
      </c>
      <c r="AO16" s="187"/>
      <c r="AP16" s="4" t="s">
        <v>255</v>
      </c>
      <c r="AQ16" s="4" t="s">
        <v>256</v>
      </c>
      <c r="AS16" s="25" t="s">
        <v>10</v>
      </c>
      <c r="AT16" s="25" t="s">
        <v>179</v>
      </c>
      <c r="BE16" s="187"/>
      <c r="BF16" s="5" t="s">
        <v>124</v>
      </c>
      <c r="BG16" s="116" t="s">
        <v>188</v>
      </c>
      <c r="BJ16" s="187"/>
      <c r="BK16" s="5" t="s">
        <v>124</v>
      </c>
      <c r="BL16" s="5" t="s">
        <v>188</v>
      </c>
      <c r="BN16" s="15" t="s">
        <v>10</v>
      </c>
      <c r="BO16" s="15" t="s">
        <v>179</v>
      </c>
      <c r="BP16" s="14"/>
      <c r="BQ16" s="14"/>
      <c r="BR16" s="14"/>
      <c r="BV16" s="25" t="s">
        <v>10</v>
      </c>
      <c r="BW16" s="25" t="s">
        <v>179</v>
      </c>
      <c r="BZ16" s="15" t="s">
        <v>10</v>
      </c>
      <c r="CA16" s="15" t="s">
        <v>179</v>
      </c>
      <c r="CD16" s="25" t="s">
        <v>10</v>
      </c>
      <c r="CE16" s="25" t="s">
        <v>179</v>
      </c>
      <c r="CL16" s="217"/>
      <c r="CM16" s="60"/>
      <c r="CN16" s="60"/>
      <c r="CP16" s="25" t="s">
        <v>10</v>
      </c>
      <c r="CQ16" s="25" t="s">
        <v>179</v>
      </c>
      <c r="CT16" s="15" t="s">
        <v>10</v>
      </c>
      <c r="CU16" s="15" t="s">
        <v>179</v>
      </c>
    </row>
    <row r="17" spans="1:101" x14ac:dyDescent="0.2">
      <c r="A17" s="230"/>
      <c r="B17" s="43" t="s">
        <v>185</v>
      </c>
      <c r="C17" s="43" t="s">
        <v>183</v>
      </c>
      <c r="D17" s="53"/>
      <c r="E17" s="25" t="s">
        <v>184</v>
      </c>
      <c r="F17" s="25" t="s">
        <v>179</v>
      </c>
      <c r="Q17" s="187"/>
      <c r="R17" s="4" t="s">
        <v>138</v>
      </c>
      <c r="S17" s="4" t="s">
        <v>211</v>
      </c>
      <c r="U17" s="187"/>
      <c r="V17" s="4" t="s">
        <v>120</v>
      </c>
      <c r="W17" s="4" t="s">
        <v>224</v>
      </c>
      <c r="Y17" s="25" t="s">
        <v>184</v>
      </c>
      <c r="Z17" s="25" t="s">
        <v>179</v>
      </c>
      <c r="AC17" s="25" t="s">
        <v>184</v>
      </c>
      <c r="AD17" s="25" t="s">
        <v>179</v>
      </c>
      <c r="AK17" s="25" t="s">
        <v>184</v>
      </c>
      <c r="AL17" s="25" t="s">
        <v>179</v>
      </c>
      <c r="AO17" s="187"/>
      <c r="AP17" s="4" t="s">
        <v>137</v>
      </c>
      <c r="AQ17" s="4" t="s">
        <v>257</v>
      </c>
      <c r="AS17" s="25" t="s">
        <v>184</v>
      </c>
      <c r="AT17" s="25" t="s">
        <v>179</v>
      </c>
      <c r="BE17" s="187"/>
      <c r="BF17" s="5" t="s">
        <v>125</v>
      </c>
      <c r="BG17" s="116" t="s">
        <v>189</v>
      </c>
      <c r="BJ17" s="187"/>
      <c r="BK17" s="5" t="s">
        <v>125</v>
      </c>
      <c r="BL17" s="5" t="s">
        <v>189</v>
      </c>
      <c r="BN17" s="15" t="s">
        <v>184</v>
      </c>
      <c r="BO17" s="15" t="s">
        <v>179</v>
      </c>
      <c r="BP17" s="14"/>
      <c r="BQ17" s="14"/>
      <c r="BR17" s="14"/>
      <c r="BV17" s="25" t="s">
        <v>184</v>
      </c>
      <c r="BW17" s="25" t="s">
        <v>179</v>
      </c>
      <c r="BZ17" s="15" t="s">
        <v>184</v>
      </c>
      <c r="CA17" s="15" t="s">
        <v>179</v>
      </c>
      <c r="CD17" s="25" t="s">
        <v>184</v>
      </c>
      <c r="CE17" s="25" t="s">
        <v>179</v>
      </c>
      <c r="CL17" s="217"/>
      <c r="CM17" s="60"/>
      <c r="CN17" s="60"/>
      <c r="CP17" s="25" t="s">
        <v>184</v>
      </c>
      <c r="CQ17" s="25" t="s">
        <v>179</v>
      </c>
      <c r="CT17" s="15" t="s">
        <v>184</v>
      </c>
      <c r="CU17" s="15" t="s">
        <v>179</v>
      </c>
    </row>
    <row r="18" spans="1:101" x14ac:dyDescent="0.2">
      <c r="A18" s="230"/>
      <c r="B18" s="43" t="s">
        <v>186</v>
      </c>
      <c r="C18" s="43" t="s">
        <v>181</v>
      </c>
      <c r="D18" s="53"/>
      <c r="E18" s="25" t="s">
        <v>158</v>
      </c>
      <c r="F18" s="39"/>
      <c r="Q18" s="187" t="s">
        <v>57</v>
      </c>
      <c r="R18" s="29" t="s">
        <v>213</v>
      </c>
      <c r="S18" s="29" t="s">
        <v>214</v>
      </c>
      <c r="U18" s="187" t="s">
        <v>57</v>
      </c>
      <c r="V18" s="26" t="s">
        <v>974</v>
      </c>
      <c r="W18" s="26" t="s">
        <v>228</v>
      </c>
      <c r="Y18" s="25" t="s">
        <v>158</v>
      </c>
      <c r="Z18" s="39"/>
      <c r="AC18" s="25" t="s">
        <v>158</v>
      </c>
      <c r="AD18" s="39"/>
      <c r="AK18" s="25" t="s">
        <v>158</v>
      </c>
      <c r="AL18" s="39"/>
      <c r="AO18" s="232" t="s">
        <v>57</v>
      </c>
      <c r="AP18" s="26" t="s">
        <v>94</v>
      </c>
      <c r="AQ18" s="26" t="s">
        <v>259</v>
      </c>
      <c r="AS18" s="25" t="s">
        <v>158</v>
      </c>
      <c r="AT18" s="39"/>
      <c r="BE18" s="187" t="s">
        <v>162</v>
      </c>
      <c r="BF18" s="18" t="s">
        <v>190</v>
      </c>
      <c r="BG18" s="115" t="s">
        <v>191</v>
      </c>
      <c r="BH18" s="106">
        <v>3</v>
      </c>
      <c r="BI18" s="51">
        <v>3</v>
      </c>
      <c r="BJ18" s="187" t="s">
        <v>162</v>
      </c>
      <c r="BK18" s="18" t="s">
        <v>190</v>
      </c>
      <c r="BL18" s="18" t="s">
        <v>191</v>
      </c>
      <c r="BN18" s="109" t="s">
        <v>41</v>
      </c>
      <c r="BO18" s="110" t="s">
        <v>273</v>
      </c>
      <c r="BP18" s="14"/>
      <c r="BQ18" s="14"/>
      <c r="BR18" s="14"/>
      <c r="BV18" s="111" t="s">
        <v>41</v>
      </c>
      <c r="BW18" s="112" t="s">
        <v>249</v>
      </c>
      <c r="BZ18" s="15" t="s">
        <v>158</v>
      </c>
      <c r="CA18" s="89"/>
      <c r="CD18" s="25" t="s">
        <v>158</v>
      </c>
      <c r="CE18" s="137"/>
      <c r="CL18" s="217"/>
      <c r="CM18" s="67" t="s">
        <v>213</v>
      </c>
      <c r="CN18" s="67">
        <v>-1.99</v>
      </c>
      <c r="CP18" s="25" t="s">
        <v>237</v>
      </c>
      <c r="CQ18" s="87"/>
      <c r="CT18" s="15" t="s">
        <v>282</v>
      </c>
      <c r="CU18" s="10"/>
    </row>
    <row r="19" spans="1:101" x14ac:dyDescent="0.2">
      <c r="A19" s="230" t="s">
        <v>161</v>
      </c>
      <c r="B19" s="25" t="s">
        <v>123</v>
      </c>
      <c r="C19" s="25" t="s">
        <v>187</v>
      </c>
      <c r="D19" s="53"/>
      <c r="E19" s="25" t="s">
        <v>169</v>
      </c>
      <c r="F19" s="39"/>
      <c r="Q19" s="187"/>
      <c r="R19" s="4" t="s">
        <v>94</v>
      </c>
      <c r="S19" s="4" t="s">
        <v>215</v>
      </c>
      <c r="U19" s="187"/>
      <c r="V19" s="4" t="s">
        <v>229</v>
      </c>
      <c r="W19" s="4" t="s">
        <v>204</v>
      </c>
      <c r="Y19" s="25" t="s">
        <v>218</v>
      </c>
      <c r="Z19" s="39"/>
      <c r="AC19" s="25" t="s">
        <v>237</v>
      </c>
      <c r="AD19" s="39"/>
      <c r="AK19" s="25" t="s">
        <v>249</v>
      </c>
      <c r="AL19" s="39"/>
      <c r="AO19" s="232"/>
      <c r="AP19" s="26" t="s">
        <v>229</v>
      </c>
      <c r="AQ19" s="26" t="s">
        <v>260</v>
      </c>
      <c r="AS19" s="25" t="s">
        <v>237</v>
      </c>
      <c r="AT19" s="39"/>
      <c r="BE19" s="187"/>
      <c r="BF19" s="5" t="s">
        <v>192</v>
      </c>
      <c r="BG19" s="116" t="s">
        <v>193</v>
      </c>
      <c r="BJ19" s="187"/>
      <c r="BK19" s="25" t="s">
        <v>192</v>
      </c>
      <c r="BL19" s="25" t="s">
        <v>193</v>
      </c>
      <c r="BN19" s="10" t="s">
        <v>121</v>
      </c>
      <c r="BO19" s="15" t="s">
        <v>158</v>
      </c>
      <c r="BP19" s="14"/>
      <c r="BQ19" s="14"/>
      <c r="BR19" s="14"/>
      <c r="BV19" s="87" t="s">
        <v>121</v>
      </c>
      <c r="BW19" s="25" t="s">
        <v>158</v>
      </c>
      <c r="BZ19" s="110" t="s">
        <v>640</v>
      </c>
      <c r="CA19" s="89"/>
      <c r="CD19" s="112" t="s">
        <v>218</v>
      </c>
      <c r="CE19" s="137"/>
      <c r="CL19" s="217"/>
      <c r="CM19" s="60"/>
      <c r="CN19" s="60"/>
      <c r="CP19" s="25" t="s">
        <v>158</v>
      </c>
      <c r="CQ19" s="87"/>
      <c r="CT19" s="15" t="s">
        <v>158</v>
      </c>
      <c r="CU19" s="10"/>
    </row>
    <row r="20" spans="1:101" x14ac:dyDescent="0.2">
      <c r="A20" s="230"/>
      <c r="B20" s="43" t="s">
        <v>124</v>
      </c>
      <c r="C20" s="43" t="s">
        <v>188</v>
      </c>
      <c r="D20" s="53"/>
      <c r="Q20" s="187"/>
      <c r="R20" s="4" t="s">
        <v>57</v>
      </c>
      <c r="S20" s="4" t="s">
        <v>216</v>
      </c>
      <c r="U20" s="187"/>
      <c r="V20" s="4" t="s">
        <v>213</v>
      </c>
      <c r="W20" s="4" t="s">
        <v>204</v>
      </c>
      <c r="Y20" s="39"/>
      <c r="Z20" s="39"/>
      <c r="AC20" s="39"/>
      <c r="AD20" s="39"/>
      <c r="AK20" s="39"/>
      <c r="AL20" s="39"/>
      <c r="AO20" s="232"/>
      <c r="AP20" s="26" t="s">
        <v>213</v>
      </c>
      <c r="AQ20" s="26" t="s">
        <v>261</v>
      </c>
      <c r="AS20" s="39"/>
      <c r="AT20" s="39"/>
      <c r="BE20" s="187"/>
      <c r="BF20" s="5" t="s">
        <v>194</v>
      </c>
      <c r="BG20" s="116" t="s">
        <v>195</v>
      </c>
      <c r="BJ20" s="187"/>
      <c r="BK20" s="5" t="s">
        <v>194</v>
      </c>
      <c r="BL20" s="5" t="s">
        <v>195</v>
      </c>
      <c r="BN20" s="30"/>
      <c r="BO20" s="30"/>
      <c r="BP20" s="14"/>
      <c r="BQ20" s="14"/>
      <c r="BR20" s="14"/>
      <c r="BV20" s="30"/>
      <c r="BW20" s="30"/>
      <c r="BZ20" s="39"/>
      <c r="CA20" s="39"/>
      <c r="CD20" s="39"/>
      <c r="CE20" s="39"/>
      <c r="CL20" s="218"/>
      <c r="CM20" s="60"/>
      <c r="CN20" s="60"/>
    </row>
    <row r="21" spans="1:101" x14ac:dyDescent="0.2">
      <c r="A21" s="230"/>
      <c r="B21" s="43" t="s">
        <v>125</v>
      </c>
      <c r="C21" s="43" t="s">
        <v>189</v>
      </c>
      <c r="D21" s="53"/>
      <c r="E21" s="25" t="s">
        <v>159</v>
      </c>
      <c r="F21" s="25" t="s">
        <v>174</v>
      </c>
      <c r="Q21" s="60" t="s">
        <v>121</v>
      </c>
      <c r="R21" s="5" t="s">
        <v>169</v>
      </c>
      <c r="U21" s="60" t="s">
        <v>121</v>
      </c>
      <c r="V21" s="5" t="s">
        <v>218</v>
      </c>
      <c r="Y21" s="25" t="s">
        <v>159</v>
      </c>
      <c r="Z21" s="25" t="s">
        <v>174</v>
      </c>
      <c r="AC21" s="25" t="s">
        <v>159</v>
      </c>
      <c r="AD21" s="25" t="s">
        <v>174</v>
      </c>
      <c r="AK21" s="25" t="s">
        <v>159</v>
      </c>
      <c r="AL21" s="25" t="s">
        <v>174</v>
      </c>
      <c r="AO21" s="60" t="s">
        <v>121</v>
      </c>
      <c r="AP21" s="5" t="s">
        <v>249</v>
      </c>
      <c r="AS21" s="15" t="s">
        <v>159</v>
      </c>
      <c r="AT21" s="15" t="s">
        <v>174</v>
      </c>
      <c r="AU21" s="236" t="s">
        <v>740</v>
      </c>
      <c r="AV21" s="237"/>
      <c r="BE21" s="187" t="s">
        <v>109</v>
      </c>
      <c r="BF21" s="18" t="s">
        <v>286</v>
      </c>
      <c r="BG21" s="115" t="s">
        <v>287</v>
      </c>
      <c r="BH21" s="106">
        <v>4</v>
      </c>
      <c r="BJ21" s="187" t="s">
        <v>109</v>
      </c>
      <c r="BK21" s="25" t="s">
        <v>312</v>
      </c>
      <c r="BL21" s="25" t="s">
        <v>228</v>
      </c>
      <c r="BN21" s="15" t="s">
        <v>159</v>
      </c>
      <c r="BO21" s="15" t="s">
        <v>174</v>
      </c>
      <c r="BP21" s="246" t="s">
        <v>741</v>
      </c>
      <c r="BQ21" s="247"/>
      <c r="BR21" s="14"/>
      <c r="BV21" s="25" t="s">
        <v>159</v>
      </c>
      <c r="BW21" s="25" t="s">
        <v>174</v>
      </c>
      <c r="BZ21" s="15" t="s">
        <v>389</v>
      </c>
      <c r="CA21" s="15" t="s">
        <v>429</v>
      </c>
      <c r="CD21" s="25" t="s">
        <v>110</v>
      </c>
      <c r="CE21" s="25" t="s">
        <v>429</v>
      </c>
      <c r="CL21" s="107" t="s">
        <v>41</v>
      </c>
      <c r="CM21" s="108" t="s">
        <v>169</v>
      </c>
      <c r="CP21" s="25" t="s">
        <v>570</v>
      </c>
      <c r="CQ21" s="25" t="s">
        <v>821</v>
      </c>
      <c r="CT21" s="15" t="s">
        <v>566</v>
      </c>
      <c r="CU21" s="15" t="s">
        <v>821</v>
      </c>
    </row>
    <row r="22" spans="1:101" x14ac:dyDescent="0.2">
      <c r="A22" s="230" t="s">
        <v>162</v>
      </c>
      <c r="B22" s="18" t="s">
        <v>190</v>
      </c>
      <c r="C22" s="18" t="s">
        <v>191</v>
      </c>
      <c r="D22" s="53"/>
      <c r="E22" s="26" t="s">
        <v>44</v>
      </c>
      <c r="F22" s="26" t="s">
        <v>170</v>
      </c>
      <c r="Y22" s="26" t="s">
        <v>72</v>
      </c>
      <c r="Z22" s="26" t="s">
        <v>231</v>
      </c>
      <c r="AC22" s="26" t="s">
        <v>72</v>
      </c>
      <c r="AD22" s="26" t="s">
        <v>238</v>
      </c>
      <c r="AK22" s="26" t="s">
        <v>203</v>
      </c>
      <c r="AL22" s="26" t="s">
        <v>250</v>
      </c>
      <c r="AS22" s="12" t="s">
        <v>45</v>
      </c>
      <c r="AT22" s="12" t="s">
        <v>263</v>
      </c>
      <c r="BE22" s="187"/>
      <c r="BF22" s="5" t="s">
        <v>288</v>
      </c>
      <c r="BG22" s="116" t="s">
        <v>289</v>
      </c>
      <c r="BJ22" s="187"/>
      <c r="BK22" s="5" t="s">
        <v>288</v>
      </c>
      <c r="BL22" s="5" t="s">
        <v>204</v>
      </c>
      <c r="BN22" s="15" t="s">
        <v>555</v>
      </c>
      <c r="BO22" s="15" t="s">
        <v>729</v>
      </c>
      <c r="BP22" s="14"/>
      <c r="BQ22" s="14"/>
      <c r="BR22" s="14"/>
      <c r="BV22" s="25" t="s">
        <v>730</v>
      </c>
      <c r="BW22" s="25" t="s">
        <v>170</v>
      </c>
      <c r="BZ22" s="15" t="s">
        <v>159</v>
      </c>
      <c r="CA22" s="15" t="s">
        <v>174</v>
      </c>
      <c r="CB22" s="241" t="s">
        <v>811</v>
      </c>
      <c r="CC22" s="242"/>
      <c r="CD22" s="25" t="s">
        <v>159</v>
      </c>
      <c r="CE22" s="25" t="s">
        <v>174</v>
      </c>
      <c r="CP22" s="25" t="s">
        <v>159</v>
      </c>
      <c r="CQ22" s="25" t="s">
        <v>174</v>
      </c>
      <c r="CT22" s="15" t="s">
        <v>159</v>
      </c>
      <c r="CU22" s="15" t="s">
        <v>174</v>
      </c>
      <c r="CV22" s="241" t="s">
        <v>832</v>
      </c>
      <c r="CW22" s="242"/>
    </row>
    <row r="23" spans="1:101" x14ac:dyDescent="0.2">
      <c r="A23" s="230"/>
      <c r="B23" s="43" t="s">
        <v>192</v>
      </c>
      <c r="C23" s="43" t="s">
        <v>193</v>
      </c>
      <c r="D23" s="53"/>
      <c r="E23" s="25" t="s">
        <v>10</v>
      </c>
      <c r="F23" s="25" t="s">
        <v>179</v>
      </c>
      <c r="Q23" s="25" t="s">
        <v>159</v>
      </c>
      <c r="R23" s="25" t="s">
        <v>174</v>
      </c>
      <c r="U23" s="15" t="s">
        <v>159</v>
      </c>
      <c r="V23" s="15" t="s">
        <v>174</v>
      </c>
      <c r="W23" s="236" t="s">
        <v>735</v>
      </c>
      <c r="X23" s="237"/>
      <c r="Y23" s="25" t="s">
        <v>10</v>
      </c>
      <c r="Z23" s="25" t="s">
        <v>179</v>
      </c>
      <c r="AC23" s="25" t="s">
        <v>10</v>
      </c>
      <c r="AD23" s="25" t="s">
        <v>179</v>
      </c>
      <c r="AK23" s="25" t="s">
        <v>10</v>
      </c>
      <c r="AL23" s="25" t="s">
        <v>179</v>
      </c>
      <c r="AO23" s="25" t="s">
        <v>10</v>
      </c>
      <c r="AP23" s="25" t="s">
        <v>179</v>
      </c>
      <c r="AS23" s="15" t="s">
        <v>10</v>
      </c>
      <c r="AT23" s="15" t="s">
        <v>179</v>
      </c>
      <c r="BE23" s="187"/>
      <c r="BF23" s="5" t="s">
        <v>109</v>
      </c>
      <c r="BG23" s="116" t="s">
        <v>290</v>
      </c>
      <c r="BJ23" s="187"/>
      <c r="BK23" s="5" t="s">
        <v>109</v>
      </c>
      <c r="BL23" s="5" t="s">
        <v>204</v>
      </c>
      <c r="BN23" s="15" t="s">
        <v>10</v>
      </c>
      <c r="BO23" s="15" t="s">
        <v>179</v>
      </c>
      <c r="BP23" s="14"/>
      <c r="BQ23" s="14"/>
      <c r="BR23" s="14"/>
      <c r="BV23" s="25" t="s">
        <v>10</v>
      </c>
      <c r="BW23" s="25" t="s">
        <v>179</v>
      </c>
      <c r="BZ23" s="15" t="s">
        <v>10</v>
      </c>
      <c r="CA23" s="15" t="s">
        <v>179</v>
      </c>
      <c r="CD23" s="25" t="s">
        <v>10</v>
      </c>
      <c r="CE23" s="25" t="s">
        <v>179</v>
      </c>
      <c r="CL23" s="25" t="s">
        <v>159</v>
      </c>
      <c r="CM23" s="25" t="s">
        <v>820</v>
      </c>
      <c r="CP23" s="25" t="s">
        <v>10</v>
      </c>
      <c r="CQ23" s="25" t="s">
        <v>179</v>
      </c>
      <c r="CT23" s="15" t="s">
        <v>10</v>
      </c>
      <c r="CU23" s="15" t="s">
        <v>179</v>
      </c>
    </row>
    <row r="24" spans="1:101" x14ac:dyDescent="0.2">
      <c r="A24" s="230"/>
      <c r="B24" s="43" t="s">
        <v>194</v>
      </c>
      <c r="C24" s="43" t="s">
        <v>195</v>
      </c>
      <c r="D24" s="53"/>
      <c r="E24" s="25" t="s">
        <v>190</v>
      </c>
      <c r="F24" s="25" t="s">
        <v>191</v>
      </c>
      <c r="Q24" s="26" t="s">
        <v>39</v>
      </c>
      <c r="R24" s="26" t="s">
        <v>206</v>
      </c>
      <c r="U24" s="12" t="s">
        <v>156</v>
      </c>
      <c r="V24" s="12" t="s">
        <v>223</v>
      </c>
      <c r="Y24" s="25" t="s">
        <v>190</v>
      </c>
      <c r="Z24" s="25" t="s">
        <v>191</v>
      </c>
      <c r="AC24" s="25" t="s">
        <v>190</v>
      </c>
      <c r="AD24" s="25" t="s">
        <v>191</v>
      </c>
      <c r="AK24" s="25" t="s">
        <v>190</v>
      </c>
      <c r="AL24" s="25" t="s">
        <v>191</v>
      </c>
      <c r="AO24" s="25" t="s">
        <v>184</v>
      </c>
      <c r="AP24" s="25" t="s">
        <v>179</v>
      </c>
      <c r="AS24" s="15" t="s">
        <v>190</v>
      </c>
      <c r="AT24" s="15" t="s">
        <v>191</v>
      </c>
      <c r="BE24" s="187" t="s">
        <v>279</v>
      </c>
      <c r="BF24" s="25" t="s">
        <v>291</v>
      </c>
      <c r="BG24" s="117" t="s">
        <v>228</v>
      </c>
      <c r="BI24" s="51">
        <v>4</v>
      </c>
      <c r="BJ24" s="187" t="s">
        <v>279</v>
      </c>
      <c r="BK24" s="18" t="s">
        <v>291</v>
      </c>
      <c r="BL24" s="18" t="s">
        <v>214</v>
      </c>
      <c r="BN24" s="15" t="s">
        <v>190</v>
      </c>
      <c r="BO24" s="15" t="s">
        <v>191</v>
      </c>
      <c r="BP24" s="14"/>
      <c r="BQ24" s="14"/>
      <c r="BR24" s="14"/>
      <c r="BS24" s="14"/>
      <c r="BT24" s="14"/>
      <c r="BU24" s="14"/>
      <c r="BV24" s="25" t="s">
        <v>190</v>
      </c>
      <c r="BW24" s="25" t="s">
        <v>191</v>
      </c>
      <c r="BX24" s="14"/>
      <c r="BZ24" s="15" t="s">
        <v>190</v>
      </c>
      <c r="CA24" s="15" t="s">
        <v>191</v>
      </c>
      <c r="CD24" s="25" t="s">
        <v>190</v>
      </c>
      <c r="CE24" s="25" t="s">
        <v>191</v>
      </c>
      <c r="CL24" s="25" t="s">
        <v>39</v>
      </c>
      <c r="CM24" s="25" t="s">
        <v>821</v>
      </c>
      <c r="CP24" s="25" t="s">
        <v>190</v>
      </c>
      <c r="CQ24" s="25" t="s">
        <v>191</v>
      </c>
      <c r="CT24" s="15" t="s">
        <v>190</v>
      </c>
      <c r="CU24" s="15" t="s">
        <v>191</v>
      </c>
    </row>
    <row r="25" spans="1:101" x14ac:dyDescent="0.2">
      <c r="A25" s="60" t="s">
        <v>121</v>
      </c>
      <c r="B25" s="5" t="s">
        <v>158</v>
      </c>
      <c r="C25" s="46"/>
      <c r="D25" s="53"/>
      <c r="E25" s="25" t="s">
        <v>158</v>
      </c>
      <c r="F25" s="39"/>
      <c r="Q25" s="25" t="s">
        <v>10</v>
      </c>
      <c r="R25" s="25" t="s">
        <v>179</v>
      </c>
      <c r="U25" s="15" t="s">
        <v>10</v>
      </c>
      <c r="V25" s="15" t="s">
        <v>179</v>
      </c>
      <c r="Y25" s="25" t="s">
        <v>158</v>
      </c>
      <c r="Z25" s="39"/>
      <c r="AC25" s="25" t="s">
        <v>158</v>
      </c>
      <c r="AD25" s="39"/>
      <c r="AK25" s="25" t="s">
        <v>158</v>
      </c>
      <c r="AL25" s="39"/>
      <c r="AO25" s="26" t="s">
        <v>88</v>
      </c>
      <c r="AP25" s="26" t="s">
        <v>258</v>
      </c>
      <c r="AS25" s="15" t="s">
        <v>158</v>
      </c>
      <c r="AT25" s="39"/>
      <c r="BE25" s="187"/>
      <c r="BF25" s="5" t="s">
        <v>292</v>
      </c>
      <c r="BG25" s="116" t="s">
        <v>210</v>
      </c>
      <c r="BJ25" s="187"/>
      <c r="BK25" s="5" t="s">
        <v>292</v>
      </c>
      <c r="BL25" s="5" t="s">
        <v>207</v>
      </c>
      <c r="BN25" s="109" t="s">
        <v>41</v>
      </c>
      <c r="BO25" s="110" t="s">
        <v>273</v>
      </c>
      <c r="BP25" s="14"/>
      <c r="BQ25" s="14"/>
      <c r="BR25" s="14"/>
      <c r="BS25" s="14"/>
      <c r="BT25" s="14"/>
      <c r="BU25" s="14"/>
      <c r="BV25" s="111" t="s">
        <v>41</v>
      </c>
      <c r="BW25" s="112" t="s">
        <v>249</v>
      </c>
      <c r="BX25" s="14"/>
      <c r="BZ25" s="15" t="s">
        <v>158</v>
      </c>
      <c r="CA25" s="89"/>
      <c r="CD25" s="25" t="s">
        <v>158</v>
      </c>
      <c r="CE25" s="137"/>
      <c r="CL25" s="25" t="s">
        <v>10</v>
      </c>
      <c r="CM25" s="25" t="s">
        <v>179</v>
      </c>
      <c r="CP25" s="25" t="s">
        <v>237</v>
      </c>
      <c r="CQ25" s="87"/>
      <c r="CT25" s="15" t="s">
        <v>282</v>
      </c>
      <c r="CU25" s="10"/>
    </row>
    <row r="26" spans="1:101" x14ac:dyDescent="0.2">
      <c r="A26" s="44"/>
      <c r="B26" s="46"/>
      <c r="C26" s="46"/>
      <c r="D26" s="53"/>
      <c r="E26" s="25" t="s">
        <v>169</v>
      </c>
      <c r="F26" s="39"/>
      <c r="Q26" s="25" t="s">
        <v>184</v>
      </c>
      <c r="R26" s="25" t="s">
        <v>179</v>
      </c>
      <c r="U26" s="15" t="s">
        <v>184</v>
      </c>
      <c r="V26" s="15" t="s">
        <v>179</v>
      </c>
      <c r="Y26" s="25" t="s">
        <v>218</v>
      </c>
      <c r="Z26" s="39"/>
      <c r="AC26" s="25" t="s">
        <v>237</v>
      </c>
      <c r="AD26" s="39"/>
      <c r="AK26" s="25" t="s">
        <v>249</v>
      </c>
      <c r="AL26" s="39"/>
      <c r="AO26" s="26" t="s">
        <v>159</v>
      </c>
      <c r="AP26" s="26" t="s">
        <v>225</v>
      </c>
      <c r="AS26" s="15" t="s">
        <v>237</v>
      </c>
      <c r="AT26" s="39"/>
      <c r="BE26" s="187"/>
      <c r="BF26" s="5" t="s">
        <v>279</v>
      </c>
      <c r="BG26" s="116" t="s">
        <v>204</v>
      </c>
      <c r="BJ26" s="187"/>
      <c r="BK26" s="5" t="s">
        <v>279</v>
      </c>
      <c r="BL26" s="5" t="s">
        <v>216</v>
      </c>
      <c r="BN26" s="10" t="s">
        <v>121</v>
      </c>
      <c r="BO26" s="15" t="s">
        <v>158</v>
      </c>
      <c r="BP26" s="14"/>
      <c r="BQ26" s="14"/>
      <c r="BR26" s="14"/>
      <c r="BS26" s="14"/>
      <c r="BT26" s="14"/>
      <c r="BU26" s="14"/>
      <c r="BV26" s="87" t="s">
        <v>121</v>
      </c>
      <c r="BW26" s="25" t="s">
        <v>158</v>
      </c>
      <c r="BX26" s="14"/>
      <c r="BZ26" s="110" t="s">
        <v>640</v>
      </c>
      <c r="CA26" s="89"/>
      <c r="CD26" s="112" t="s">
        <v>218</v>
      </c>
      <c r="CE26" s="137"/>
      <c r="CL26" s="25" t="s">
        <v>184</v>
      </c>
      <c r="CM26" s="25" t="s">
        <v>179</v>
      </c>
      <c r="CP26" s="25" t="s">
        <v>158</v>
      </c>
      <c r="CQ26" s="87"/>
      <c r="CT26" s="15" t="s">
        <v>158</v>
      </c>
      <c r="CU26" s="10"/>
    </row>
    <row r="27" spans="1:101" x14ac:dyDescent="0.2">
      <c r="A27" s="44"/>
      <c r="B27" s="46"/>
      <c r="C27" s="46"/>
      <c r="D27" s="53"/>
      <c r="Q27" s="25" t="s">
        <v>158</v>
      </c>
      <c r="R27" s="39"/>
      <c r="U27" s="15" t="s">
        <v>158</v>
      </c>
      <c r="V27" s="39"/>
      <c r="Y27" s="39"/>
      <c r="Z27" s="39"/>
      <c r="AC27" s="39"/>
      <c r="AD27" s="39"/>
      <c r="AK27" s="39"/>
      <c r="AL27" s="39"/>
      <c r="AO27" s="25" t="s">
        <v>158</v>
      </c>
      <c r="AS27" s="39"/>
      <c r="AT27" s="39"/>
      <c r="BE27" s="187" t="s">
        <v>280</v>
      </c>
      <c r="BF27" s="18" t="s">
        <v>296</v>
      </c>
      <c r="BG27" s="115" t="s">
        <v>294</v>
      </c>
      <c r="BH27" s="106">
        <v>5</v>
      </c>
      <c r="BJ27" s="232" t="s">
        <v>280</v>
      </c>
      <c r="BK27" s="25" t="s">
        <v>296</v>
      </c>
      <c r="BL27" s="25" t="s">
        <v>313</v>
      </c>
      <c r="BN27" s="30"/>
      <c r="BO27" s="30"/>
      <c r="BP27" s="14"/>
      <c r="BQ27" s="14"/>
      <c r="BR27" s="14"/>
      <c r="BS27" s="14"/>
      <c r="BT27" s="14"/>
      <c r="BU27" s="14"/>
      <c r="BV27" s="30"/>
      <c r="BW27" s="30"/>
      <c r="BX27" s="14"/>
      <c r="BZ27" s="46"/>
      <c r="CA27" s="46"/>
      <c r="CD27" s="46"/>
      <c r="CE27" s="46"/>
      <c r="CL27" s="25" t="s">
        <v>158</v>
      </c>
      <c r="CM27" s="137"/>
      <c r="CT27" s="39"/>
      <c r="CU27" s="39"/>
    </row>
    <row r="28" spans="1:101" x14ac:dyDescent="0.2">
      <c r="A28" s="44"/>
      <c r="B28" s="46"/>
      <c r="C28" s="46"/>
      <c r="D28" s="53"/>
      <c r="E28" s="25" t="s">
        <v>159</v>
      </c>
      <c r="F28" s="25" t="s">
        <v>174</v>
      </c>
      <c r="Q28" s="25" t="s">
        <v>169</v>
      </c>
      <c r="R28" s="39"/>
      <c r="U28" s="15" t="s">
        <v>218</v>
      </c>
      <c r="V28" s="39"/>
      <c r="Y28" s="25" t="s">
        <v>159</v>
      </c>
      <c r="Z28" s="25" t="s">
        <v>174</v>
      </c>
      <c r="AC28" s="25" t="s">
        <v>159</v>
      </c>
      <c r="AD28" s="25" t="s">
        <v>174</v>
      </c>
      <c r="AK28" s="25" t="s">
        <v>159</v>
      </c>
      <c r="AL28" s="25" t="s">
        <v>174</v>
      </c>
      <c r="AO28" s="25" t="s">
        <v>249</v>
      </c>
      <c r="AS28" s="25" t="s">
        <v>159</v>
      </c>
      <c r="AT28" s="25" t="s">
        <v>174</v>
      </c>
      <c r="BE28" s="187"/>
      <c r="BF28" s="5" t="s">
        <v>293</v>
      </c>
      <c r="BG28" s="116" t="s">
        <v>295</v>
      </c>
      <c r="BJ28" s="232"/>
      <c r="BK28" s="25" t="s">
        <v>293</v>
      </c>
      <c r="BL28" s="25" t="s">
        <v>314</v>
      </c>
      <c r="BN28" s="15" t="s">
        <v>159</v>
      </c>
      <c r="BO28" s="15" t="s">
        <v>174</v>
      </c>
      <c r="BP28" s="246" t="s">
        <v>742</v>
      </c>
      <c r="BQ28" s="247"/>
      <c r="BR28" s="14"/>
      <c r="BS28" s="14"/>
      <c r="BT28" s="14"/>
      <c r="BU28" s="14"/>
      <c r="BV28" s="25" t="s">
        <v>159</v>
      </c>
      <c r="BW28" s="25" t="s">
        <v>174</v>
      </c>
      <c r="BX28" s="14"/>
      <c r="BZ28" s="15" t="s">
        <v>389</v>
      </c>
      <c r="CA28" s="15" t="s">
        <v>429</v>
      </c>
      <c r="CD28" s="25" t="s">
        <v>110</v>
      </c>
      <c r="CE28" s="25" t="s">
        <v>429</v>
      </c>
      <c r="CL28" s="112" t="s">
        <v>169</v>
      </c>
      <c r="CM28" s="137"/>
      <c r="CP28" s="25" t="s">
        <v>570</v>
      </c>
      <c r="CQ28" s="25" t="s">
        <v>821</v>
      </c>
      <c r="CT28" s="15" t="s">
        <v>566</v>
      </c>
      <c r="CU28" s="15" t="s">
        <v>821</v>
      </c>
    </row>
    <row r="29" spans="1:101" x14ac:dyDescent="0.2">
      <c r="A29" s="44"/>
      <c r="B29" s="46"/>
      <c r="C29" s="46"/>
      <c r="D29" s="53"/>
      <c r="E29" s="26" t="s">
        <v>44</v>
      </c>
      <c r="F29" s="26" t="s">
        <v>170</v>
      </c>
      <c r="Q29" s="39"/>
      <c r="R29" s="39"/>
      <c r="U29" s="39"/>
      <c r="V29" s="39"/>
      <c r="Y29" s="26" t="s">
        <v>72</v>
      </c>
      <c r="Z29" s="26" t="s">
        <v>231</v>
      </c>
      <c r="AC29" s="26" t="s">
        <v>72</v>
      </c>
      <c r="AD29" s="26" t="s">
        <v>238</v>
      </c>
      <c r="AK29" s="26" t="s">
        <v>203</v>
      </c>
      <c r="AL29" s="26" t="s">
        <v>250</v>
      </c>
      <c r="AS29" s="26" t="s">
        <v>45</v>
      </c>
      <c r="AT29" s="26" t="s">
        <v>263</v>
      </c>
      <c r="BE29" s="187"/>
      <c r="BF29" s="5" t="s">
        <v>280</v>
      </c>
      <c r="BG29" s="116" t="s">
        <v>297</v>
      </c>
      <c r="BJ29" s="232"/>
      <c r="BK29" s="25" t="s">
        <v>280</v>
      </c>
      <c r="BL29" s="25" t="s">
        <v>315</v>
      </c>
      <c r="BN29" s="15" t="s">
        <v>555</v>
      </c>
      <c r="BO29" s="15" t="s">
        <v>729</v>
      </c>
      <c r="BP29" s="14"/>
      <c r="BQ29" s="14"/>
      <c r="BR29" s="14"/>
      <c r="BS29" s="14"/>
      <c r="BT29" s="14"/>
      <c r="BU29" s="14"/>
      <c r="BV29" s="25" t="s">
        <v>730</v>
      </c>
      <c r="BW29" s="25" t="s">
        <v>170</v>
      </c>
      <c r="BX29" s="14"/>
      <c r="BZ29" s="15" t="s">
        <v>159</v>
      </c>
      <c r="CA29" s="15" t="s">
        <v>174</v>
      </c>
      <c r="CB29" s="241" t="s">
        <v>812</v>
      </c>
      <c r="CC29" s="242"/>
      <c r="CD29" s="25" t="s">
        <v>159</v>
      </c>
      <c r="CE29" s="25" t="s">
        <v>174</v>
      </c>
      <c r="CP29" s="25" t="s">
        <v>159</v>
      </c>
      <c r="CQ29" s="25" t="s">
        <v>174</v>
      </c>
      <c r="CT29" s="15" t="s">
        <v>159</v>
      </c>
      <c r="CU29" s="15" t="s">
        <v>174</v>
      </c>
      <c r="CV29" s="241" t="s">
        <v>833</v>
      </c>
      <c r="CW29" s="242"/>
    </row>
    <row r="30" spans="1:101" x14ac:dyDescent="0.2">
      <c r="A30" s="44"/>
      <c r="B30" s="46"/>
      <c r="C30" s="46"/>
      <c r="D30" s="53"/>
      <c r="E30" s="25" t="s">
        <v>184</v>
      </c>
      <c r="F30" s="25" t="s">
        <v>179</v>
      </c>
      <c r="Q30" s="25" t="s">
        <v>159</v>
      </c>
      <c r="R30" s="25" t="s">
        <v>174</v>
      </c>
      <c r="U30" s="15" t="s">
        <v>159</v>
      </c>
      <c r="V30" s="15" t="s">
        <v>174</v>
      </c>
      <c r="W30" s="236" t="s">
        <v>736</v>
      </c>
      <c r="X30" s="237"/>
      <c r="Y30" s="25" t="s">
        <v>184</v>
      </c>
      <c r="Z30" s="25" t="s">
        <v>179</v>
      </c>
      <c r="AC30" s="25" t="s">
        <v>184</v>
      </c>
      <c r="AD30" s="25" t="s">
        <v>179</v>
      </c>
      <c r="AK30" s="25" t="s">
        <v>184</v>
      </c>
      <c r="AL30" s="25" t="s">
        <v>179</v>
      </c>
      <c r="AO30" s="15" t="s">
        <v>10</v>
      </c>
      <c r="AP30" s="15" t="s">
        <v>179</v>
      </c>
      <c r="AQ30" s="236" t="s">
        <v>739</v>
      </c>
      <c r="AR30" s="237"/>
      <c r="AS30" s="25" t="s">
        <v>184</v>
      </c>
      <c r="AT30" s="25" t="s">
        <v>179</v>
      </c>
      <c r="BE30" s="187" t="s">
        <v>281</v>
      </c>
      <c r="BF30" s="18" t="s">
        <v>298</v>
      </c>
      <c r="BG30" s="115" t="s">
        <v>299</v>
      </c>
      <c r="BH30" s="106">
        <v>6</v>
      </c>
      <c r="BJ30" s="187" t="s">
        <v>281</v>
      </c>
      <c r="BK30" s="25" t="s">
        <v>316</v>
      </c>
      <c r="BL30" s="25" t="s">
        <v>228</v>
      </c>
      <c r="BN30" s="15" t="s">
        <v>184</v>
      </c>
      <c r="BO30" s="15" t="s">
        <v>179</v>
      </c>
      <c r="BP30" s="14"/>
      <c r="BQ30" s="14"/>
      <c r="BR30" s="14"/>
      <c r="BS30" s="14"/>
      <c r="BT30" s="14"/>
      <c r="BU30" s="14"/>
      <c r="BV30" s="25" t="s">
        <v>184</v>
      </c>
      <c r="BW30" s="25" t="s">
        <v>179</v>
      </c>
      <c r="BX30" s="14"/>
      <c r="BZ30" s="15" t="s">
        <v>184</v>
      </c>
      <c r="CA30" s="15" t="s">
        <v>179</v>
      </c>
      <c r="CD30" s="25" t="s">
        <v>184</v>
      </c>
      <c r="CE30" s="25" t="s">
        <v>179</v>
      </c>
      <c r="CL30" s="25" t="s">
        <v>159</v>
      </c>
      <c r="CM30" s="25" t="s">
        <v>820</v>
      </c>
      <c r="CP30" s="25" t="s">
        <v>184</v>
      </c>
      <c r="CQ30" s="25" t="s">
        <v>179</v>
      </c>
      <c r="CT30" s="15" t="s">
        <v>184</v>
      </c>
      <c r="CU30" s="15" t="s">
        <v>179</v>
      </c>
    </row>
    <row r="31" spans="1:101" x14ac:dyDescent="0.2">
      <c r="A31" s="44"/>
      <c r="B31" s="46"/>
      <c r="C31" s="46"/>
      <c r="D31" s="53"/>
      <c r="E31" s="25" t="s">
        <v>190</v>
      </c>
      <c r="F31" s="25" t="s">
        <v>191</v>
      </c>
      <c r="Q31" s="26" t="s">
        <v>39</v>
      </c>
      <c r="R31" s="26" t="s">
        <v>206</v>
      </c>
      <c r="U31" s="12" t="s">
        <v>156</v>
      </c>
      <c r="V31" s="12" t="s">
        <v>223</v>
      </c>
      <c r="Y31" s="25" t="s">
        <v>190</v>
      </c>
      <c r="Z31" s="25" t="s">
        <v>191</v>
      </c>
      <c r="AC31" s="25" t="s">
        <v>190</v>
      </c>
      <c r="AD31" s="25" t="s">
        <v>191</v>
      </c>
      <c r="AK31" s="25" t="s">
        <v>190</v>
      </c>
      <c r="AL31" s="25" t="s">
        <v>191</v>
      </c>
      <c r="AO31" s="15" t="s">
        <v>184</v>
      </c>
      <c r="AP31" s="15" t="s">
        <v>179</v>
      </c>
      <c r="AS31" s="25" t="s">
        <v>190</v>
      </c>
      <c r="AT31" s="25" t="s">
        <v>191</v>
      </c>
      <c r="BE31" s="187"/>
      <c r="BF31" s="5" t="s">
        <v>300</v>
      </c>
      <c r="BG31" s="116" t="s">
        <v>301</v>
      </c>
      <c r="BJ31" s="187"/>
      <c r="BK31" s="5" t="s">
        <v>300</v>
      </c>
      <c r="BL31" s="5" t="s">
        <v>222</v>
      </c>
      <c r="BN31" s="15" t="s">
        <v>190</v>
      </c>
      <c r="BO31" s="15" t="s">
        <v>191</v>
      </c>
      <c r="BP31" s="14"/>
      <c r="BQ31" s="14"/>
      <c r="BR31" s="14"/>
      <c r="BS31" s="14"/>
      <c r="BT31" s="14"/>
      <c r="BU31" s="14"/>
      <c r="BV31" s="25" t="s">
        <v>190</v>
      </c>
      <c r="BW31" s="25" t="s">
        <v>191</v>
      </c>
      <c r="BX31" s="14"/>
      <c r="BZ31" s="15" t="s">
        <v>190</v>
      </c>
      <c r="CA31" s="15" t="s">
        <v>191</v>
      </c>
      <c r="CD31" s="25" t="s">
        <v>190</v>
      </c>
      <c r="CE31" s="25" t="s">
        <v>191</v>
      </c>
      <c r="CL31" s="25" t="s">
        <v>39</v>
      </c>
      <c r="CM31" s="25" t="s">
        <v>821</v>
      </c>
      <c r="CP31" s="25" t="s">
        <v>190</v>
      </c>
      <c r="CQ31" s="25" t="s">
        <v>191</v>
      </c>
      <c r="CT31" s="15" t="s">
        <v>190</v>
      </c>
      <c r="CU31" s="15" t="s">
        <v>191</v>
      </c>
    </row>
    <row r="32" spans="1:101" x14ac:dyDescent="0.2">
      <c r="A32" s="44"/>
      <c r="B32" s="46"/>
      <c r="C32" s="46"/>
      <c r="D32" s="53"/>
      <c r="E32" s="25" t="s">
        <v>158</v>
      </c>
      <c r="F32" s="39"/>
      <c r="Q32" s="25" t="s">
        <v>10</v>
      </c>
      <c r="R32" s="25" t="s">
        <v>179</v>
      </c>
      <c r="U32" s="15" t="s">
        <v>10</v>
      </c>
      <c r="V32" s="15" t="s">
        <v>179</v>
      </c>
      <c r="Y32" s="25" t="s">
        <v>158</v>
      </c>
      <c r="Z32" s="39"/>
      <c r="AC32" s="25" t="s">
        <v>158</v>
      </c>
      <c r="AD32" s="39"/>
      <c r="AK32" s="25" t="s">
        <v>158</v>
      </c>
      <c r="AL32" s="39"/>
      <c r="AO32" s="12" t="s">
        <v>88</v>
      </c>
      <c r="AP32" s="12" t="s">
        <v>258</v>
      </c>
      <c r="AS32" s="25" t="s">
        <v>158</v>
      </c>
      <c r="AT32" s="39"/>
      <c r="BE32" s="187"/>
      <c r="BF32" s="5" t="s">
        <v>302</v>
      </c>
      <c r="BG32" s="116" t="s">
        <v>303</v>
      </c>
      <c r="BJ32" s="187"/>
      <c r="BK32" s="5" t="s">
        <v>302</v>
      </c>
      <c r="BL32" s="5" t="s">
        <v>221</v>
      </c>
      <c r="BN32" s="109" t="s">
        <v>41</v>
      </c>
      <c r="BO32" s="110" t="s">
        <v>273</v>
      </c>
      <c r="BP32" s="14"/>
      <c r="BQ32" s="14"/>
      <c r="BR32" s="14"/>
      <c r="BS32" s="14"/>
      <c r="BT32" s="14"/>
      <c r="BU32" s="14"/>
      <c r="BV32" s="111" t="s">
        <v>41</v>
      </c>
      <c r="BW32" s="112" t="s">
        <v>249</v>
      </c>
      <c r="BX32" s="14"/>
      <c r="BZ32" s="15" t="s">
        <v>158</v>
      </c>
      <c r="CA32" s="89"/>
      <c r="CD32" s="25" t="s">
        <v>158</v>
      </c>
      <c r="CE32" s="137"/>
      <c r="CL32" s="25" t="s">
        <v>10</v>
      </c>
      <c r="CM32" s="25" t="s">
        <v>179</v>
      </c>
      <c r="CP32" s="25" t="s">
        <v>237</v>
      </c>
      <c r="CQ32" s="87"/>
      <c r="CT32" s="15" t="s">
        <v>282</v>
      </c>
      <c r="CU32" s="10"/>
    </row>
    <row r="33" spans="1:99" x14ac:dyDescent="0.2">
      <c r="A33" s="44"/>
      <c r="B33" s="54"/>
      <c r="C33" s="46"/>
      <c r="D33" s="53"/>
      <c r="E33" s="25" t="s">
        <v>169</v>
      </c>
      <c r="F33" s="39"/>
      <c r="Q33" s="25" t="s">
        <v>190</v>
      </c>
      <c r="R33" s="25" t="s">
        <v>191</v>
      </c>
      <c r="U33" s="15" t="s">
        <v>190</v>
      </c>
      <c r="V33" s="15" t="s">
        <v>191</v>
      </c>
      <c r="Y33" s="25" t="s">
        <v>218</v>
      </c>
      <c r="Z33" s="39"/>
      <c r="AC33" s="25" t="s">
        <v>237</v>
      </c>
      <c r="AD33" s="39"/>
      <c r="AK33" s="25" t="s">
        <v>249</v>
      </c>
      <c r="AL33" s="39"/>
      <c r="AO33" s="12" t="s">
        <v>138</v>
      </c>
      <c r="AP33" s="12" t="s">
        <v>254</v>
      </c>
      <c r="AS33" s="25" t="s">
        <v>237</v>
      </c>
      <c r="AT33" s="39"/>
      <c r="BE33" s="187" t="s">
        <v>69</v>
      </c>
      <c r="BF33" s="25" t="s">
        <v>304</v>
      </c>
      <c r="BG33" s="117" t="s">
        <v>305</v>
      </c>
      <c r="BI33" s="51">
        <v>5</v>
      </c>
      <c r="BJ33" s="187" t="s">
        <v>69</v>
      </c>
      <c r="BK33" s="18" t="s">
        <v>304</v>
      </c>
      <c r="BL33" s="18" t="s">
        <v>317</v>
      </c>
      <c r="BN33" s="10" t="s">
        <v>121</v>
      </c>
      <c r="BO33" s="15" t="s">
        <v>158</v>
      </c>
      <c r="BP33" s="14"/>
      <c r="BQ33" s="14"/>
      <c r="BR33" s="14"/>
      <c r="BS33" s="14"/>
      <c r="BT33" s="14"/>
      <c r="BU33" s="14"/>
      <c r="BV33" s="87" t="s">
        <v>121</v>
      </c>
      <c r="BW33" s="25" t="s">
        <v>158</v>
      </c>
      <c r="BX33" s="14"/>
      <c r="BZ33" s="110" t="s">
        <v>640</v>
      </c>
      <c r="CA33" s="89"/>
      <c r="CD33" s="112" t="s">
        <v>218</v>
      </c>
      <c r="CE33" s="137"/>
      <c r="CL33" s="25" t="s">
        <v>190</v>
      </c>
      <c r="CM33" s="25" t="s">
        <v>191</v>
      </c>
      <c r="CP33" s="25" t="s">
        <v>158</v>
      </c>
      <c r="CQ33" s="87"/>
      <c r="CT33" s="15" t="s">
        <v>158</v>
      </c>
      <c r="CU33" s="10"/>
    </row>
    <row r="34" spans="1:99" x14ac:dyDescent="0.2">
      <c r="Q34" s="25" t="s">
        <v>158</v>
      </c>
      <c r="R34" s="39"/>
      <c r="U34" s="15" t="s">
        <v>158</v>
      </c>
      <c r="V34" s="39"/>
      <c r="AO34" s="15" t="s">
        <v>158</v>
      </c>
      <c r="AP34" s="39"/>
      <c r="BE34" s="187"/>
      <c r="BF34" s="5" t="s">
        <v>306</v>
      </c>
      <c r="BG34" s="116" t="s">
        <v>307</v>
      </c>
      <c r="BJ34" s="187"/>
      <c r="BK34" s="5" t="s">
        <v>308</v>
      </c>
      <c r="BL34" s="5" t="s">
        <v>240</v>
      </c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CL34" s="25" t="s">
        <v>158</v>
      </c>
      <c r="CM34" s="137"/>
    </row>
    <row r="35" spans="1:99" x14ac:dyDescent="0.2">
      <c r="Q35" s="25" t="s">
        <v>169</v>
      </c>
      <c r="R35" s="39"/>
      <c r="U35" s="15" t="s">
        <v>218</v>
      </c>
      <c r="V35" s="39"/>
      <c r="AO35" s="15" t="s">
        <v>249</v>
      </c>
      <c r="AP35" s="39"/>
      <c r="BE35" s="187"/>
      <c r="BF35" s="25" t="s">
        <v>308</v>
      </c>
      <c r="BG35" s="117" t="s">
        <v>309</v>
      </c>
      <c r="BJ35" s="187"/>
      <c r="BK35" s="5" t="s">
        <v>194</v>
      </c>
      <c r="BL35" s="5" t="s">
        <v>318</v>
      </c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CL35" s="112" t="s">
        <v>169</v>
      </c>
      <c r="CM35" s="137"/>
    </row>
    <row r="36" spans="1:99" x14ac:dyDescent="0.2">
      <c r="Q36" s="39"/>
      <c r="R36" s="39"/>
      <c r="U36" s="39"/>
      <c r="V36" s="39"/>
      <c r="BE36" s="187" t="s">
        <v>54</v>
      </c>
      <c r="BF36" s="18" t="s">
        <v>56</v>
      </c>
      <c r="BG36" s="115" t="s">
        <v>254</v>
      </c>
      <c r="BH36" s="106">
        <v>7</v>
      </c>
      <c r="BI36" s="51">
        <v>6</v>
      </c>
      <c r="BJ36" s="187" t="s">
        <v>54</v>
      </c>
      <c r="BK36" s="18" t="s">
        <v>56</v>
      </c>
      <c r="BL36" s="18" t="s">
        <v>238</v>
      </c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</row>
    <row r="37" spans="1:99" x14ac:dyDescent="0.2">
      <c r="Q37" s="25" t="s">
        <v>159</v>
      </c>
      <c r="R37" s="25" t="s">
        <v>174</v>
      </c>
      <c r="U37" s="15" t="s">
        <v>159</v>
      </c>
      <c r="V37" s="15" t="s">
        <v>174</v>
      </c>
      <c r="W37" s="236" t="s">
        <v>737</v>
      </c>
      <c r="X37" s="237"/>
      <c r="AO37" s="15" t="s">
        <v>10</v>
      </c>
      <c r="AP37" s="15" t="s">
        <v>179</v>
      </c>
      <c r="AQ37" s="236" t="s">
        <v>738</v>
      </c>
      <c r="AR37" s="237"/>
      <c r="BE37" s="187"/>
      <c r="BF37" s="5" t="s">
        <v>310</v>
      </c>
      <c r="BG37" s="116" t="s">
        <v>256</v>
      </c>
      <c r="BJ37" s="187"/>
      <c r="BK37" s="5" t="s">
        <v>55</v>
      </c>
      <c r="BL37" s="5" t="s">
        <v>240</v>
      </c>
      <c r="CL37" s="25" t="s">
        <v>159</v>
      </c>
      <c r="CM37" s="25" t="s">
        <v>820</v>
      </c>
    </row>
    <row r="38" spans="1:99" x14ac:dyDescent="0.2">
      <c r="Q38" s="26" t="s">
        <v>39</v>
      </c>
      <c r="R38" s="26" t="s">
        <v>206</v>
      </c>
      <c r="U38" s="12" t="s">
        <v>156</v>
      </c>
      <c r="V38" s="12" t="s">
        <v>223</v>
      </c>
      <c r="AO38" s="15" t="s">
        <v>184</v>
      </c>
      <c r="AP38" s="15" t="s">
        <v>179</v>
      </c>
      <c r="BE38" s="187"/>
      <c r="BF38" s="5" t="s">
        <v>54</v>
      </c>
      <c r="BG38" s="116" t="s">
        <v>311</v>
      </c>
      <c r="BJ38" s="187"/>
      <c r="BK38" s="5" t="s">
        <v>310</v>
      </c>
      <c r="BL38" s="5" t="s">
        <v>239</v>
      </c>
      <c r="CL38" s="25" t="s">
        <v>39</v>
      </c>
      <c r="CM38" s="25" t="s">
        <v>821</v>
      </c>
    </row>
    <row r="39" spans="1:99" x14ac:dyDescent="0.2">
      <c r="Q39" s="25" t="s">
        <v>184</v>
      </c>
      <c r="R39" s="25" t="s">
        <v>179</v>
      </c>
      <c r="U39" s="15" t="s">
        <v>184</v>
      </c>
      <c r="V39" s="15" t="s">
        <v>179</v>
      </c>
      <c r="AO39" s="12" t="s">
        <v>159</v>
      </c>
      <c r="AP39" s="12" t="s">
        <v>225</v>
      </c>
      <c r="BE39" s="60" t="s">
        <v>121</v>
      </c>
      <c r="BF39" s="5" t="s">
        <v>282</v>
      </c>
      <c r="BJ39" s="60" t="s">
        <v>121</v>
      </c>
      <c r="BK39" s="5" t="s">
        <v>284</v>
      </c>
      <c r="CL39" s="25" t="s">
        <v>184</v>
      </c>
      <c r="CM39" s="25" t="s">
        <v>179</v>
      </c>
    </row>
    <row r="40" spans="1:99" x14ac:dyDescent="0.2">
      <c r="Q40" s="25" t="s">
        <v>190</v>
      </c>
      <c r="R40" s="25" t="s">
        <v>191</v>
      </c>
      <c r="U40" s="15" t="s">
        <v>190</v>
      </c>
      <c r="V40" s="15" t="s">
        <v>191</v>
      </c>
      <c r="AO40" s="12" t="s">
        <v>138</v>
      </c>
      <c r="AP40" s="12" t="s">
        <v>254</v>
      </c>
      <c r="CL40" s="25" t="s">
        <v>190</v>
      </c>
      <c r="CM40" s="25" t="s">
        <v>191</v>
      </c>
    </row>
    <row r="41" spans="1:99" x14ac:dyDescent="0.2">
      <c r="Q41" s="25" t="s">
        <v>158</v>
      </c>
      <c r="R41" s="39"/>
      <c r="U41" s="15" t="s">
        <v>158</v>
      </c>
      <c r="V41" s="39"/>
      <c r="AO41" s="15" t="s">
        <v>158</v>
      </c>
      <c r="AP41" s="39"/>
      <c r="BD41">
        <v>123</v>
      </c>
      <c r="BE41" s="25" t="s">
        <v>159</v>
      </c>
      <c r="BF41" s="25" t="s">
        <v>174</v>
      </c>
      <c r="BI41" s="51">
        <v>123</v>
      </c>
      <c r="BJ41" s="25" t="s">
        <v>159</v>
      </c>
      <c r="BK41" s="25" t="s">
        <v>174</v>
      </c>
      <c r="CL41" s="25" t="s">
        <v>158</v>
      </c>
      <c r="CM41" s="137"/>
    </row>
    <row r="42" spans="1:99" x14ac:dyDescent="0.2">
      <c r="Q42" s="25" t="s">
        <v>169</v>
      </c>
      <c r="R42" s="39"/>
      <c r="U42" s="15" t="s">
        <v>218</v>
      </c>
      <c r="V42" s="39"/>
      <c r="AO42" s="15" t="s">
        <v>249</v>
      </c>
      <c r="AP42" s="39"/>
      <c r="BE42" s="25" t="s">
        <v>10</v>
      </c>
      <c r="BF42" s="25" t="s">
        <v>179</v>
      </c>
      <c r="BJ42" s="25" t="s">
        <v>10</v>
      </c>
      <c r="BK42" s="25" t="s">
        <v>179</v>
      </c>
      <c r="CL42" s="112" t="s">
        <v>169</v>
      </c>
      <c r="CM42" s="137"/>
    </row>
    <row r="43" spans="1:99" ht="13.5" customHeight="1" x14ac:dyDescent="0.2">
      <c r="BE43" s="25" t="s">
        <v>184</v>
      </c>
      <c r="BF43" s="25" t="s">
        <v>179</v>
      </c>
      <c r="BG43" s="239" t="s">
        <v>398</v>
      </c>
      <c r="BH43" s="240"/>
      <c r="BI43" s="70"/>
      <c r="BJ43" s="25" t="s">
        <v>184</v>
      </c>
      <c r="BK43" s="25" t="s">
        <v>179</v>
      </c>
      <c r="BL43" s="210" t="s">
        <v>398</v>
      </c>
      <c r="BM43" s="238"/>
    </row>
    <row r="44" spans="1:99" x14ac:dyDescent="0.2">
      <c r="Q44" s="15" t="s">
        <v>159</v>
      </c>
      <c r="R44" s="15" t="s">
        <v>174</v>
      </c>
      <c r="S44" s="236" t="s">
        <v>732</v>
      </c>
      <c r="T44" s="237"/>
      <c r="AO44" s="25" t="s">
        <v>10</v>
      </c>
      <c r="AP44" s="25" t="s">
        <v>179</v>
      </c>
      <c r="BE44" s="25" t="s">
        <v>190</v>
      </c>
      <c r="BF44" s="25" t="s">
        <v>191</v>
      </c>
      <c r="BJ44" s="25" t="s">
        <v>190</v>
      </c>
      <c r="BK44" s="25" t="s">
        <v>191</v>
      </c>
      <c r="CL44" s="15" t="s">
        <v>159</v>
      </c>
      <c r="CM44" s="15" t="s">
        <v>820</v>
      </c>
    </row>
    <row r="45" spans="1:99" x14ac:dyDescent="0.2">
      <c r="Q45" s="12" t="s">
        <v>213</v>
      </c>
      <c r="R45" s="12" t="s">
        <v>214</v>
      </c>
      <c r="AO45" s="25" t="s">
        <v>190</v>
      </c>
      <c r="AP45" s="25" t="s">
        <v>191</v>
      </c>
      <c r="BE45" s="25" t="s">
        <v>158</v>
      </c>
      <c r="BF45" s="39"/>
      <c r="BJ45" s="25" t="s">
        <v>158</v>
      </c>
      <c r="BK45" s="39"/>
      <c r="CL45" s="48" t="s">
        <v>213</v>
      </c>
      <c r="CM45" s="48">
        <v>-1.99</v>
      </c>
      <c r="CN45" s="241" t="s">
        <v>823</v>
      </c>
      <c r="CO45" s="242"/>
    </row>
    <row r="46" spans="1:99" x14ac:dyDescent="0.2">
      <c r="Q46" s="15" t="s">
        <v>10</v>
      </c>
      <c r="R46" s="15" t="s">
        <v>179</v>
      </c>
      <c r="AO46" s="26" t="s">
        <v>88</v>
      </c>
      <c r="AP46" s="26" t="s">
        <v>258</v>
      </c>
      <c r="BE46" s="25" t="s">
        <v>282</v>
      </c>
      <c r="BJ46" s="25" t="s">
        <v>284</v>
      </c>
      <c r="BK46" s="39"/>
      <c r="CL46" s="15" t="s">
        <v>10</v>
      </c>
      <c r="CM46" s="15" t="s">
        <v>179</v>
      </c>
    </row>
    <row r="47" spans="1:99" x14ac:dyDescent="0.2">
      <c r="Q47" s="15" t="s">
        <v>184</v>
      </c>
      <c r="R47" s="15" t="s">
        <v>179</v>
      </c>
      <c r="AO47" s="26" t="s">
        <v>159</v>
      </c>
      <c r="AP47" s="26" t="s">
        <v>225</v>
      </c>
      <c r="CL47" s="15" t="s">
        <v>184</v>
      </c>
      <c r="CM47" s="15" t="s">
        <v>179</v>
      </c>
    </row>
    <row r="48" spans="1:99" x14ac:dyDescent="0.2">
      <c r="Q48" s="15" t="s">
        <v>158</v>
      </c>
      <c r="R48" s="39"/>
      <c r="AO48" s="25" t="s">
        <v>158</v>
      </c>
      <c r="AP48" s="39"/>
      <c r="BD48">
        <v>124</v>
      </c>
      <c r="BE48" s="25" t="s">
        <v>159</v>
      </c>
      <c r="BF48" s="25" t="s">
        <v>174</v>
      </c>
      <c r="BI48" s="51">
        <v>124</v>
      </c>
      <c r="BJ48" s="25" t="s">
        <v>159</v>
      </c>
      <c r="BK48" s="25" t="s">
        <v>174</v>
      </c>
      <c r="CL48" s="15" t="s">
        <v>158</v>
      </c>
      <c r="CM48" s="89"/>
    </row>
    <row r="49" spans="17:93" x14ac:dyDescent="0.2">
      <c r="Q49" s="15" t="s">
        <v>169</v>
      </c>
      <c r="R49" s="39"/>
      <c r="AO49" s="25" t="s">
        <v>249</v>
      </c>
      <c r="AP49" s="39"/>
      <c r="BE49" s="25" t="s">
        <v>10</v>
      </c>
      <c r="BF49" s="25" t="s">
        <v>179</v>
      </c>
      <c r="BJ49" s="25" t="s">
        <v>10</v>
      </c>
      <c r="BK49" s="25" t="s">
        <v>179</v>
      </c>
      <c r="CL49" s="110" t="s">
        <v>169</v>
      </c>
      <c r="CM49" s="89"/>
    </row>
    <row r="50" spans="17:93" x14ac:dyDescent="0.2">
      <c r="Q50" s="39"/>
      <c r="R50" s="39"/>
      <c r="AO50" s="39"/>
      <c r="AP50" s="39"/>
      <c r="BE50" s="25" t="s">
        <v>184</v>
      </c>
      <c r="BF50" s="25" t="s">
        <v>179</v>
      </c>
      <c r="BJ50" s="25" t="s">
        <v>184</v>
      </c>
      <c r="BK50" s="25" t="s">
        <v>179</v>
      </c>
    </row>
    <row r="51" spans="17:93" x14ac:dyDescent="0.2">
      <c r="Q51" s="15" t="s">
        <v>159</v>
      </c>
      <c r="R51" s="15" t="s">
        <v>174</v>
      </c>
      <c r="S51" s="236" t="s">
        <v>733</v>
      </c>
      <c r="T51" s="237"/>
      <c r="AO51" s="25" t="s">
        <v>10</v>
      </c>
      <c r="AP51" s="25" t="s">
        <v>179</v>
      </c>
      <c r="BE51" s="25" t="s">
        <v>286</v>
      </c>
      <c r="BF51" s="25" t="s">
        <v>287</v>
      </c>
      <c r="BJ51" s="25" t="s">
        <v>291</v>
      </c>
      <c r="BK51" s="25" t="s">
        <v>214</v>
      </c>
      <c r="CL51" s="15" t="s">
        <v>159</v>
      </c>
      <c r="CM51" s="15" t="s">
        <v>820</v>
      </c>
    </row>
    <row r="52" spans="17:93" x14ac:dyDescent="0.2">
      <c r="Q52" s="12" t="s">
        <v>213</v>
      </c>
      <c r="R52" s="12" t="s">
        <v>214</v>
      </c>
      <c r="AO52" s="25" t="s">
        <v>190</v>
      </c>
      <c r="AP52" s="25" t="s">
        <v>191</v>
      </c>
      <c r="BE52" s="25" t="s">
        <v>158</v>
      </c>
      <c r="BF52" s="39"/>
      <c r="BJ52" s="25" t="s">
        <v>158</v>
      </c>
      <c r="BK52" s="39"/>
      <c r="CL52" s="48" t="s">
        <v>213</v>
      </c>
      <c r="CM52" s="48">
        <v>-1.99</v>
      </c>
      <c r="CN52" s="241" t="s">
        <v>824</v>
      </c>
      <c r="CO52" s="242"/>
    </row>
    <row r="53" spans="17:93" x14ac:dyDescent="0.2">
      <c r="Q53" s="15" t="s">
        <v>10</v>
      </c>
      <c r="R53" s="15" t="s">
        <v>179</v>
      </c>
      <c r="AO53" s="26" t="s">
        <v>88</v>
      </c>
      <c r="AP53" s="26" t="s">
        <v>258</v>
      </c>
      <c r="BE53" s="25" t="s">
        <v>282</v>
      </c>
      <c r="BJ53" s="25" t="s">
        <v>284</v>
      </c>
      <c r="BK53" s="39"/>
      <c r="CL53" s="15" t="s">
        <v>10</v>
      </c>
      <c r="CM53" s="15" t="s">
        <v>179</v>
      </c>
    </row>
    <row r="54" spans="17:93" x14ac:dyDescent="0.2">
      <c r="Q54" s="15" t="s">
        <v>190</v>
      </c>
      <c r="R54" s="15" t="s">
        <v>191</v>
      </c>
      <c r="AO54" s="26" t="s">
        <v>138</v>
      </c>
      <c r="AP54" s="26" t="s">
        <v>254</v>
      </c>
      <c r="CL54" s="15" t="s">
        <v>190</v>
      </c>
      <c r="CM54" s="15" t="s">
        <v>191</v>
      </c>
    </row>
    <row r="55" spans="17:93" x14ac:dyDescent="0.2">
      <c r="Q55" s="15" t="s">
        <v>158</v>
      </c>
      <c r="R55" s="39"/>
      <c r="AO55" s="25" t="s">
        <v>158</v>
      </c>
      <c r="AP55" s="39"/>
      <c r="BD55">
        <v>125</v>
      </c>
      <c r="BE55" s="25" t="s">
        <v>159</v>
      </c>
      <c r="BF55" s="25" t="s">
        <v>174</v>
      </c>
      <c r="BI55" s="51">
        <v>125</v>
      </c>
      <c r="BJ55" s="25" t="s">
        <v>159</v>
      </c>
      <c r="BK55" s="25" t="s">
        <v>174</v>
      </c>
      <c r="CL55" s="15" t="s">
        <v>158</v>
      </c>
      <c r="CM55" s="89"/>
    </row>
    <row r="56" spans="17:93" x14ac:dyDescent="0.2">
      <c r="Q56" s="15" t="s">
        <v>169</v>
      </c>
      <c r="R56" s="39"/>
      <c r="AO56" s="25" t="s">
        <v>249</v>
      </c>
      <c r="AP56" s="39"/>
      <c r="BE56" s="25" t="s">
        <v>10</v>
      </c>
      <c r="BF56" s="25" t="s">
        <v>179</v>
      </c>
      <c r="BJ56" s="25" t="s">
        <v>10</v>
      </c>
      <c r="BK56" s="25" t="s">
        <v>179</v>
      </c>
      <c r="CL56" s="110" t="s">
        <v>169</v>
      </c>
      <c r="CM56" s="89"/>
    </row>
    <row r="57" spans="17:93" x14ac:dyDescent="0.2">
      <c r="Q57" s="39"/>
      <c r="R57" s="39"/>
      <c r="AO57" s="39"/>
      <c r="AP57" s="39"/>
      <c r="BE57" s="25" t="s">
        <v>184</v>
      </c>
      <c r="BF57" s="25" t="s">
        <v>179</v>
      </c>
      <c r="BJ57" s="25" t="s">
        <v>184</v>
      </c>
      <c r="BK57" s="25" t="s">
        <v>179</v>
      </c>
    </row>
    <row r="58" spans="17:93" x14ac:dyDescent="0.2">
      <c r="Q58" s="15" t="s">
        <v>159</v>
      </c>
      <c r="R58" s="15" t="s">
        <v>174</v>
      </c>
      <c r="S58" s="236" t="s">
        <v>734</v>
      </c>
      <c r="T58" s="237"/>
      <c r="AO58" s="15" t="s">
        <v>10</v>
      </c>
      <c r="AP58" s="15" t="s">
        <v>179</v>
      </c>
      <c r="AQ58" s="236" t="s">
        <v>804</v>
      </c>
      <c r="AR58" s="237"/>
      <c r="BE58" s="25" t="s">
        <v>296</v>
      </c>
      <c r="BF58" s="25" t="s">
        <v>294</v>
      </c>
      <c r="BJ58" s="25" t="s">
        <v>304</v>
      </c>
      <c r="BK58" s="25" t="s">
        <v>317</v>
      </c>
      <c r="CL58" s="15" t="s">
        <v>159</v>
      </c>
      <c r="CM58" s="15" t="s">
        <v>820</v>
      </c>
    </row>
    <row r="59" spans="17:93" x14ac:dyDescent="0.2">
      <c r="Q59" s="12" t="s">
        <v>213</v>
      </c>
      <c r="R59" s="12" t="s">
        <v>214</v>
      </c>
      <c r="AO59" s="15" t="s">
        <v>190</v>
      </c>
      <c r="AP59" s="15" t="s">
        <v>191</v>
      </c>
      <c r="BE59" s="25" t="s">
        <v>158</v>
      </c>
      <c r="BF59" s="39"/>
      <c r="BJ59" s="25" t="s">
        <v>158</v>
      </c>
      <c r="BK59" s="39"/>
      <c r="CL59" s="48" t="s">
        <v>213</v>
      </c>
      <c r="CM59" s="48">
        <v>-1.99</v>
      </c>
      <c r="CN59" s="241" t="s">
        <v>825</v>
      </c>
      <c r="CO59" s="242"/>
    </row>
    <row r="60" spans="17:93" x14ac:dyDescent="0.2">
      <c r="Q60" s="15" t="s">
        <v>184</v>
      </c>
      <c r="R60" s="15" t="s">
        <v>179</v>
      </c>
      <c r="AO60" s="12" t="s">
        <v>159</v>
      </c>
      <c r="AP60" s="12" t="s">
        <v>225</v>
      </c>
      <c r="BE60" s="25" t="s">
        <v>282</v>
      </c>
      <c r="BJ60" s="25" t="s">
        <v>284</v>
      </c>
      <c r="BK60" s="39"/>
      <c r="CL60" s="15" t="s">
        <v>184</v>
      </c>
      <c r="CM60" s="15" t="s">
        <v>179</v>
      </c>
    </row>
    <row r="61" spans="17:93" x14ac:dyDescent="0.2">
      <c r="Q61" s="15" t="s">
        <v>190</v>
      </c>
      <c r="R61" s="15" t="s">
        <v>191</v>
      </c>
      <c r="AO61" s="12" t="s">
        <v>138</v>
      </c>
      <c r="AP61" s="12" t="s">
        <v>254</v>
      </c>
      <c r="CL61" s="15" t="s">
        <v>190</v>
      </c>
      <c r="CM61" s="15" t="s">
        <v>191</v>
      </c>
    </row>
    <row r="62" spans="17:93" x14ac:dyDescent="0.2">
      <c r="Q62" s="15" t="s">
        <v>158</v>
      </c>
      <c r="R62" s="39"/>
      <c r="AO62" s="15" t="s">
        <v>158</v>
      </c>
      <c r="AP62" s="39"/>
      <c r="BD62">
        <v>126</v>
      </c>
      <c r="BE62" s="15" t="s">
        <v>159</v>
      </c>
      <c r="BF62" s="15" t="s">
        <v>174</v>
      </c>
      <c r="BI62" s="51">
        <v>126</v>
      </c>
      <c r="BJ62" s="25" t="s">
        <v>159</v>
      </c>
      <c r="BK62" s="25" t="s">
        <v>174</v>
      </c>
      <c r="CL62" s="15" t="s">
        <v>158</v>
      </c>
      <c r="CM62" s="89"/>
    </row>
    <row r="63" spans="17:93" x14ac:dyDescent="0.2">
      <c r="Q63" s="15" t="s">
        <v>169</v>
      </c>
      <c r="R63" s="39"/>
      <c r="AO63" s="15" t="s">
        <v>249</v>
      </c>
      <c r="AP63" s="39"/>
      <c r="BE63" s="15" t="s">
        <v>10</v>
      </c>
      <c r="BF63" s="15" t="s">
        <v>179</v>
      </c>
      <c r="BJ63" s="25" t="s">
        <v>10</v>
      </c>
      <c r="BK63" s="25" t="s">
        <v>179</v>
      </c>
      <c r="CL63" s="110" t="s">
        <v>169</v>
      </c>
      <c r="CM63" s="89"/>
    </row>
    <row r="64" spans="17:93" x14ac:dyDescent="0.2">
      <c r="BE64" s="15" t="s">
        <v>184</v>
      </c>
      <c r="BF64" s="15" t="s">
        <v>179</v>
      </c>
      <c r="BG64" s="236" t="s">
        <v>413</v>
      </c>
      <c r="BH64" s="237"/>
      <c r="BI64" s="76"/>
      <c r="BJ64" s="25" t="s">
        <v>184</v>
      </c>
      <c r="BK64" s="25" t="s">
        <v>179</v>
      </c>
    </row>
    <row r="65" spans="17:91" x14ac:dyDescent="0.2">
      <c r="Q65" s="26" t="s">
        <v>39</v>
      </c>
      <c r="R65" s="26" t="s">
        <v>206</v>
      </c>
      <c r="AO65" s="25" t="s">
        <v>184</v>
      </c>
      <c r="AP65" s="25" t="s">
        <v>179</v>
      </c>
      <c r="BE65" s="15" t="s">
        <v>298</v>
      </c>
      <c r="BF65" s="15" t="s">
        <v>299</v>
      </c>
      <c r="BJ65" s="25" t="s">
        <v>56</v>
      </c>
      <c r="BK65" s="25" t="s">
        <v>238</v>
      </c>
      <c r="CL65" s="25" t="s">
        <v>39</v>
      </c>
      <c r="CM65" s="25" t="s">
        <v>821</v>
      </c>
    </row>
    <row r="66" spans="17:91" x14ac:dyDescent="0.2">
      <c r="Q66" s="26" t="s">
        <v>213</v>
      </c>
      <c r="R66" s="26" t="s">
        <v>214</v>
      </c>
      <c r="AO66" s="25" t="s">
        <v>190</v>
      </c>
      <c r="AP66" s="25" t="s">
        <v>191</v>
      </c>
      <c r="BE66" s="15" t="s">
        <v>158</v>
      </c>
      <c r="BF66" s="39"/>
      <c r="BJ66" s="25" t="s">
        <v>158</v>
      </c>
      <c r="BK66" s="39"/>
      <c r="CL66" s="57" t="s">
        <v>213</v>
      </c>
      <c r="CM66" s="57">
        <v>-1.99</v>
      </c>
    </row>
    <row r="67" spans="17:91" x14ac:dyDescent="0.2">
      <c r="Q67" s="25" t="s">
        <v>10</v>
      </c>
      <c r="R67" s="25" t="s">
        <v>179</v>
      </c>
      <c r="AO67" s="26" t="s">
        <v>88</v>
      </c>
      <c r="AP67" s="26" t="s">
        <v>258</v>
      </c>
      <c r="BE67" s="15" t="s">
        <v>282</v>
      </c>
      <c r="BJ67" s="25" t="s">
        <v>284</v>
      </c>
      <c r="BK67" s="39"/>
      <c r="CL67" s="25" t="s">
        <v>10</v>
      </c>
      <c r="CM67" s="25" t="s">
        <v>179</v>
      </c>
    </row>
    <row r="68" spans="17:91" x14ac:dyDescent="0.2">
      <c r="Q68" s="25" t="s">
        <v>184</v>
      </c>
      <c r="R68" s="25" t="s">
        <v>179</v>
      </c>
      <c r="AO68" s="26" t="s">
        <v>159</v>
      </c>
      <c r="AP68" s="26" t="s">
        <v>225</v>
      </c>
      <c r="CL68" s="25" t="s">
        <v>184</v>
      </c>
      <c r="CM68" s="25" t="s">
        <v>179</v>
      </c>
    </row>
    <row r="69" spans="17:91" x14ac:dyDescent="0.2">
      <c r="Q69" s="25" t="s">
        <v>158</v>
      </c>
      <c r="R69" s="39"/>
      <c r="AO69" s="25" t="s">
        <v>158</v>
      </c>
      <c r="AP69" s="39"/>
      <c r="BD69">
        <v>127</v>
      </c>
      <c r="BE69" s="25" t="s">
        <v>159</v>
      </c>
      <c r="BF69" s="25" t="s">
        <v>174</v>
      </c>
      <c r="BI69" s="51">
        <v>134</v>
      </c>
      <c r="BJ69" s="25" t="s">
        <v>159</v>
      </c>
      <c r="BK69" s="25" t="s">
        <v>174</v>
      </c>
      <c r="CL69" s="25" t="s">
        <v>158</v>
      </c>
      <c r="CM69" s="137"/>
    </row>
    <row r="70" spans="17:91" x14ac:dyDescent="0.2">
      <c r="Q70" s="25" t="s">
        <v>169</v>
      </c>
      <c r="R70" s="39"/>
      <c r="AO70" s="25" t="s">
        <v>249</v>
      </c>
      <c r="AP70" s="39"/>
      <c r="BE70" s="25" t="s">
        <v>10</v>
      </c>
      <c r="BF70" s="25" t="s">
        <v>179</v>
      </c>
      <c r="BJ70" s="25" t="s">
        <v>10</v>
      </c>
      <c r="BK70" s="25" t="s">
        <v>179</v>
      </c>
      <c r="CL70" s="112" t="s">
        <v>169</v>
      </c>
      <c r="CM70" s="137"/>
    </row>
    <row r="71" spans="17:91" x14ac:dyDescent="0.2">
      <c r="Q71" s="39"/>
      <c r="R71" s="39"/>
      <c r="AO71" s="39"/>
      <c r="AP71" s="39"/>
      <c r="BE71" s="25" t="s">
        <v>184</v>
      </c>
      <c r="BF71" s="25" t="s">
        <v>179</v>
      </c>
      <c r="BJ71" s="25" t="s">
        <v>190</v>
      </c>
      <c r="BK71" s="25" t="s">
        <v>191</v>
      </c>
    </row>
    <row r="72" spans="17:91" x14ac:dyDescent="0.2">
      <c r="Q72" s="26" t="s">
        <v>39</v>
      </c>
      <c r="R72" s="26" t="s">
        <v>206</v>
      </c>
      <c r="AO72" s="25" t="s">
        <v>184</v>
      </c>
      <c r="AP72" s="25" t="s">
        <v>179</v>
      </c>
      <c r="BE72" s="25" t="s">
        <v>56</v>
      </c>
      <c r="BF72" s="25" t="s">
        <v>254</v>
      </c>
      <c r="BJ72" s="25" t="s">
        <v>291</v>
      </c>
      <c r="BK72" s="25" t="s">
        <v>214</v>
      </c>
      <c r="CL72" s="25" t="s">
        <v>39</v>
      </c>
      <c r="CM72" s="25" t="s">
        <v>821</v>
      </c>
    </row>
    <row r="73" spans="17:91" x14ac:dyDescent="0.2">
      <c r="Q73" s="26" t="s">
        <v>213</v>
      </c>
      <c r="R73" s="26" t="s">
        <v>214</v>
      </c>
      <c r="AO73" s="25" t="s">
        <v>190</v>
      </c>
      <c r="AP73" s="25" t="s">
        <v>191</v>
      </c>
      <c r="BE73" s="25" t="s">
        <v>158</v>
      </c>
      <c r="BF73" s="39"/>
      <c r="BJ73" s="25" t="s">
        <v>158</v>
      </c>
      <c r="BK73" s="39"/>
      <c r="CL73" s="57" t="s">
        <v>213</v>
      </c>
      <c r="CM73" s="57">
        <v>-1.99</v>
      </c>
    </row>
    <row r="74" spans="17:91" x14ac:dyDescent="0.2">
      <c r="Q74" s="25" t="s">
        <v>10</v>
      </c>
      <c r="R74" s="25" t="s">
        <v>179</v>
      </c>
      <c r="AO74" s="26" t="s">
        <v>88</v>
      </c>
      <c r="AP74" s="26" t="s">
        <v>258</v>
      </c>
      <c r="BE74" s="25" t="s">
        <v>282</v>
      </c>
      <c r="BJ74" s="25" t="s">
        <v>284</v>
      </c>
      <c r="BK74" s="39"/>
      <c r="CL74" s="25" t="s">
        <v>10</v>
      </c>
      <c r="CM74" s="25" t="s">
        <v>179</v>
      </c>
    </row>
    <row r="75" spans="17:91" x14ac:dyDescent="0.2">
      <c r="Q75" s="25" t="s">
        <v>190</v>
      </c>
      <c r="R75" s="25" t="s">
        <v>191</v>
      </c>
      <c r="AO75" s="26" t="s">
        <v>138</v>
      </c>
      <c r="AP75" s="26" t="s">
        <v>254</v>
      </c>
      <c r="CL75" s="25" t="s">
        <v>190</v>
      </c>
      <c r="CM75" s="25" t="s">
        <v>191</v>
      </c>
    </row>
    <row r="76" spans="17:91" x14ac:dyDescent="0.2">
      <c r="Q76" s="25" t="s">
        <v>158</v>
      </c>
      <c r="R76" s="39"/>
      <c r="AO76" s="25" t="s">
        <v>158</v>
      </c>
      <c r="AP76" s="39"/>
      <c r="BD76">
        <v>134</v>
      </c>
      <c r="BE76" s="25" t="s">
        <v>159</v>
      </c>
      <c r="BF76" s="25" t="s">
        <v>174</v>
      </c>
      <c r="BI76" s="51">
        <v>135</v>
      </c>
      <c r="BJ76" s="25" t="s">
        <v>159</v>
      </c>
      <c r="BK76" s="25" t="s">
        <v>174</v>
      </c>
      <c r="CL76" s="25" t="s">
        <v>158</v>
      </c>
      <c r="CM76" s="137"/>
    </row>
    <row r="77" spans="17:91" x14ac:dyDescent="0.2">
      <c r="Q77" s="25" t="s">
        <v>169</v>
      </c>
      <c r="R77" s="39"/>
      <c r="AO77" s="25" t="s">
        <v>249</v>
      </c>
      <c r="AP77" s="39"/>
      <c r="BE77" s="25" t="s">
        <v>10</v>
      </c>
      <c r="BF77" s="25" t="s">
        <v>179</v>
      </c>
      <c r="BJ77" s="25" t="s">
        <v>10</v>
      </c>
      <c r="BK77" s="25" t="s">
        <v>179</v>
      </c>
      <c r="CL77" s="112" t="s">
        <v>169</v>
      </c>
      <c r="CM77" s="137"/>
    </row>
    <row r="78" spans="17:91" x14ac:dyDescent="0.2">
      <c r="Q78" s="39"/>
      <c r="R78" s="39"/>
      <c r="AO78" s="39"/>
      <c r="AP78" s="39"/>
      <c r="BE78" s="25" t="s">
        <v>190</v>
      </c>
      <c r="BF78" s="25" t="s">
        <v>191</v>
      </c>
      <c r="BJ78" s="25" t="s">
        <v>190</v>
      </c>
      <c r="BK78" s="25" t="s">
        <v>191</v>
      </c>
    </row>
    <row r="79" spans="17:91" x14ac:dyDescent="0.2">
      <c r="Q79" s="26" t="s">
        <v>39</v>
      </c>
      <c r="R79" s="26" t="s">
        <v>206</v>
      </c>
      <c r="AO79" s="25" t="s">
        <v>184</v>
      </c>
      <c r="AP79" s="25" t="s">
        <v>179</v>
      </c>
      <c r="BE79" s="25" t="s">
        <v>286</v>
      </c>
      <c r="BF79" s="25" t="s">
        <v>287</v>
      </c>
      <c r="BJ79" s="25" t="s">
        <v>304</v>
      </c>
      <c r="BK79" s="25" t="s">
        <v>317</v>
      </c>
      <c r="CL79" s="25" t="s">
        <v>39</v>
      </c>
      <c r="CM79" s="25" t="s">
        <v>821</v>
      </c>
    </row>
    <row r="80" spans="17:91" x14ac:dyDescent="0.2">
      <c r="Q80" s="26" t="s">
        <v>213</v>
      </c>
      <c r="R80" s="26" t="s">
        <v>214</v>
      </c>
      <c r="AO80" s="25" t="s">
        <v>190</v>
      </c>
      <c r="AP80" s="25" t="s">
        <v>191</v>
      </c>
      <c r="BE80" s="25" t="s">
        <v>158</v>
      </c>
      <c r="BF80" s="39"/>
      <c r="BJ80" s="25" t="s">
        <v>158</v>
      </c>
      <c r="BK80" s="39"/>
      <c r="CL80" s="57" t="s">
        <v>213</v>
      </c>
      <c r="CM80" s="57">
        <v>-1.99</v>
      </c>
    </row>
    <row r="81" spans="17:91" x14ac:dyDescent="0.2">
      <c r="Q81" s="25" t="s">
        <v>184</v>
      </c>
      <c r="R81" s="25" t="s">
        <v>179</v>
      </c>
      <c r="AO81" s="26" t="s">
        <v>159</v>
      </c>
      <c r="AP81" s="26" t="s">
        <v>225</v>
      </c>
      <c r="BE81" s="25" t="s">
        <v>282</v>
      </c>
      <c r="BJ81" s="25" t="s">
        <v>284</v>
      </c>
      <c r="BK81" s="39"/>
      <c r="CL81" s="25" t="s">
        <v>184</v>
      </c>
      <c r="CM81" s="25" t="s">
        <v>179</v>
      </c>
    </row>
    <row r="82" spans="17:91" x14ac:dyDescent="0.2">
      <c r="Q82" s="25" t="s">
        <v>190</v>
      </c>
      <c r="R82" s="25" t="s">
        <v>191</v>
      </c>
      <c r="AO82" s="26" t="s">
        <v>138</v>
      </c>
      <c r="AP82" s="26" t="s">
        <v>254</v>
      </c>
      <c r="CL82" s="25" t="s">
        <v>190</v>
      </c>
      <c r="CM82" s="25" t="s">
        <v>191</v>
      </c>
    </row>
    <row r="83" spans="17:91" x14ac:dyDescent="0.2">
      <c r="Q83" s="25" t="s">
        <v>158</v>
      </c>
      <c r="R83" s="39"/>
      <c r="AO83" s="25" t="s">
        <v>158</v>
      </c>
      <c r="AP83" s="39"/>
      <c r="BD83">
        <v>135</v>
      </c>
      <c r="BE83" s="25" t="s">
        <v>159</v>
      </c>
      <c r="BF83" s="25" t="s">
        <v>174</v>
      </c>
      <c r="BI83" s="51">
        <v>136</v>
      </c>
      <c r="BJ83" s="25" t="s">
        <v>159</v>
      </c>
      <c r="BK83" s="25" t="s">
        <v>174</v>
      </c>
      <c r="CL83" s="25" t="s">
        <v>158</v>
      </c>
      <c r="CM83" s="137"/>
    </row>
    <row r="84" spans="17:91" x14ac:dyDescent="0.2">
      <c r="Q84" s="25" t="s">
        <v>169</v>
      </c>
      <c r="R84" s="39"/>
      <c r="AO84" s="25" t="s">
        <v>249</v>
      </c>
      <c r="AP84" s="39"/>
      <c r="BE84" s="25" t="s">
        <v>10</v>
      </c>
      <c r="BF84" s="25" t="s">
        <v>179</v>
      </c>
      <c r="BJ84" s="25" t="s">
        <v>10</v>
      </c>
      <c r="BK84" s="25" t="s">
        <v>179</v>
      </c>
      <c r="CL84" s="112" t="s">
        <v>169</v>
      </c>
      <c r="CM84" s="137"/>
    </row>
    <row r="85" spans="17:91" x14ac:dyDescent="0.2">
      <c r="BE85" s="25" t="s">
        <v>190</v>
      </c>
      <c r="BF85" s="25" t="s">
        <v>191</v>
      </c>
      <c r="BJ85" s="25" t="s">
        <v>190</v>
      </c>
      <c r="BK85" s="25" t="s">
        <v>191</v>
      </c>
    </row>
    <row r="86" spans="17:91" x14ac:dyDescent="0.2">
      <c r="BE86" s="25" t="s">
        <v>296</v>
      </c>
      <c r="BF86" s="25" t="s">
        <v>294</v>
      </c>
      <c r="BJ86" s="25" t="s">
        <v>56</v>
      </c>
      <c r="BK86" s="25" t="s">
        <v>238</v>
      </c>
    </row>
    <row r="87" spans="17:91" x14ac:dyDescent="0.2">
      <c r="BE87" s="25" t="s">
        <v>158</v>
      </c>
      <c r="BF87" s="39"/>
      <c r="BJ87" s="25" t="s">
        <v>158</v>
      </c>
      <c r="BK87" s="39"/>
    </row>
    <row r="88" spans="17:91" x14ac:dyDescent="0.2">
      <c r="BE88" s="25" t="s">
        <v>282</v>
      </c>
      <c r="BJ88" s="25" t="s">
        <v>284</v>
      </c>
      <c r="BK88" s="39"/>
    </row>
    <row r="90" spans="17:91" x14ac:dyDescent="0.2">
      <c r="BD90">
        <v>136</v>
      </c>
      <c r="BE90" s="15" t="s">
        <v>159</v>
      </c>
      <c r="BF90" s="15" t="s">
        <v>174</v>
      </c>
      <c r="BI90" s="51">
        <v>145</v>
      </c>
      <c r="BJ90" s="25" t="s">
        <v>159</v>
      </c>
      <c r="BK90" s="25" t="s">
        <v>174</v>
      </c>
    </row>
    <row r="91" spans="17:91" x14ac:dyDescent="0.2">
      <c r="BE91" s="15" t="s">
        <v>10</v>
      </c>
      <c r="BF91" s="15" t="s">
        <v>179</v>
      </c>
      <c r="BJ91" s="25" t="s">
        <v>10</v>
      </c>
      <c r="BK91" s="25" t="s">
        <v>179</v>
      </c>
    </row>
    <row r="92" spans="17:91" x14ac:dyDescent="0.2">
      <c r="BE92" s="15" t="s">
        <v>190</v>
      </c>
      <c r="BF92" s="15" t="s">
        <v>191</v>
      </c>
      <c r="BG92" s="236" t="s">
        <v>414</v>
      </c>
      <c r="BH92" s="237"/>
      <c r="BI92" s="76"/>
      <c r="BJ92" s="25" t="s">
        <v>291</v>
      </c>
      <c r="BK92" s="25" t="s">
        <v>214</v>
      </c>
    </row>
    <row r="93" spans="17:91" x14ac:dyDescent="0.2">
      <c r="BE93" s="15" t="s">
        <v>298</v>
      </c>
      <c r="BF93" s="15" t="s">
        <v>299</v>
      </c>
      <c r="BJ93" s="25" t="s">
        <v>304</v>
      </c>
      <c r="BK93" s="25" t="s">
        <v>317</v>
      </c>
    </row>
    <row r="94" spans="17:91" x14ac:dyDescent="0.2">
      <c r="BE94" s="15" t="s">
        <v>158</v>
      </c>
      <c r="BF94" s="39"/>
      <c r="BJ94" s="25" t="s">
        <v>158</v>
      </c>
      <c r="BK94" s="39"/>
    </row>
    <row r="95" spans="17:91" x14ac:dyDescent="0.2">
      <c r="BE95" s="15" t="s">
        <v>282</v>
      </c>
      <c r="BJ95" s="25" t="s">
        <v>284</v>
      </c>
      <c r="BK95" s="39"/>
    </row>
    <row r="97" spans="56:63" x14ac:dyDescent="0.2">
      <c r="BD97">
        <v>137</v>
      </c>
      <c r="BE97" s="15" t="s">
        <v>159</v>
      </c>
      <c r="BF97" s="15" t="s">
        <v>174</v>
      </c>
      <c r="BI97" s="51">
        <v>146</v>
      </c>
      <c r="BJ97" s="25" t="s">
        <v>159</v>
      </c>
      <c r="BK97" s="25" t="s">
        <v>174</v>
      </c>
    </row>
    <row r="98" spans="56:63" x14ac:dyDescent="0.2">
      <c r="BE98" s="15" t="s">
        <v>10</v>
      </c>
      <c r="BF98" s="15" t="s">
        <v>179</v>
      </c>
      <c r="BJ98" s="25" t="s">
        <v>10</v>
      </c>
      <c r="BK98" s="25" t="s">
        <v>179</v>
      </c>
    </row>
    <row r="99" spans="56:63" x14ac:dyDescent="0.2">
      <c r="BE99" s="15" t="s">
        <v>190</v>
      </c>
      <c r="BF99" s="15" t="s">
        <v>191</v>
      </c>
      <c r="BG99" s="236" t="s">
        <v>415</v>
      </c>
      <c r="BH99" s="237"/>
      <c r="BI99" s="76"/>
      <c r="BJ99" s="25" t="s">
        <v>291</v>
      </c>
      <c r="BK99" s="25" t="s">
        <v>214</v>
      </c>
    </row>
    <row r="100" spans="56:63" x14ac:dyDescent="0.2">
      <c r="BE100" s="15" t="s">
        <v>56</v>
      </c>
      <c r="BF100" s="15" t="s">
        <v>254</v>
      </c>
      <c r="BJ100" s="25" t="s">
        <v>56</v>
      </c>
      <c r="BK100" s="25" t="s">
        <v>238</v>
      </c>
    </row>
    <row r="101" spans="56:63" x14ac:dyDescent="0.2">
      <c r="BE101" s="15" t="s">
        <v>158</v>
      </c>
      <c r="BF101" s="39"/>
      <c r="BJ101" s="25" t="s">
        <v>158</v>
      </c>
      <c r="BK101" s="39"/>
    </row>
    <row r="102" spans="56:63" x14ac:dyDescent="0.2">
      <c r="BE102" s="15" t="s">
        <v>282</v>
      </c>
      <c r="BJ102" s="25" t="s">
        <v>284</v>
      </c>
      <c r="BK102" s="39"/>
    </row>
    <row r="104" spans="56:63" x14ac:dyDescent="0.2">
      <c r="BD104">
        <v>145</v>
      </c>
      <c r="BE104" s="25" t="s">
        <v>159</v>
      </c>
      <c r="BF104" s="25" t="s">
        <v>174</v>
      </c>
      <c r="BI104" s="51">
        <v>156</v>
      </c>
      <c r="BJ104" s="25" t="s">
        <v>159</v>
      </c>
      <c r="BK104" s="25" t="s">
        <v>174</v>
      </c>
    </row>
    <row r="105" spans="56:63" x14ac:dyDescent="0.2">
      <c r="BE105" s="25" t="s">
        <v>10</v>
      </c>
      <c r="BF105" s="25" t="s">
        <v>179</v>
      </c>
      <c r="BJ105" s="25" t="s">
        <v>10</v>
      </c>
      <c r="BK105" s="25" t="s">
        <v>179</v>
      </c>
    </row>
    <row r="106" spans="56:63" x14ac:dyDescent="0.2">
      <c r="BE106" s="25" t="s">
        <v>286</v>
      </c>
      <c r="BF106" s="25" t="s">
        <v>287</v>
      </c>
      <c r="BJ106" s="25" t="s">
        <v>304</v>
      </c>
      <c r="BK106" s="25" t="s">
        <v>317</v>
      </c>
    </row>
    <row r="107" spans="56:63" x14ac:dyDescent="0.2">
      <c r="BE107" s="25" t="s">
        <v>296</v>
      </c>
      <c r="BF107" s="25" t="s">
        <v>294</v>
      </c>
      <c r="BJ107" s="25" t="s">
        <v>56</v>
      </c>
      <c r="BK107" s="25" t="s">
        <v>238</v>
      </c>
    </row>
    <row r="108" spans="56:63" x14ac:dyDescent="0.2">
      <c r="BE108" s="25" t="s">
        <v>158</v>
      </c>
      <c r="BF108" s="39"/>
      <c r="BJ108" s="25" t="s">
        <v>158</v>
      </c>
      <c r="BK108" s="39"/>
    </row>
    <row r="109" spans="56:63" x14ac:dyDescent="0.2">
      <c r="BE109" s="25" t="s">
        <v>282</v>
      </c>
      <c r="BJ109" s="25" t="s">
        <v>284</v>
      </c>
      <c r="BK109" s="39"/>
    </row>
    <row r="111" spans="56:63" x14ac:dyDescent="0.2">
      <c r="BD111">
        <v>146</v>
      </c>
      <c r="BE111" s="25" t="s">
        <v>159</v>
      </c>
      <c r="BF111" s="25" t="s">
        <v>174</v>
      </c>
      <c r="BI111" s="51">
        <v>234</v>
      </c>
      <c r="BJ111" s="25" t="s">
        <v>159</v>
      </c>
      <c r="BK111" s="25" t="s">
        <v>174</v>
      </c>
    </row>
    <row r="112" spans="56:63" x14ac:dyDescent="0.2">
      <c r="BE112" s="25" t="s">
        <v>10</v>
      </c>
      <c r="BF112" s="25" t="s">
        <v>179</v>
      </c>
      <c r="BJ112" s="25" t="s">
        <v>184</v>
      </c>
      <c r="BK112" s="25" t="s">
        <v>179</v>
      </c>
    </row>
    <row r="113" spans="56:64" x14ac:dyDescent="0.2">
      <c r="BE113" s="25" t="s">
        <v>286</v>
      </c>
      <c r="BF113" s="25" t="s">
        <v>287</v>
      </c>
      <c r="BG113" s="236" t="s">
        <v>399</v>
      </c>
      <c r="BH113" s="243"/>
      <c r="BJ113" s="25" t="s">
        <v>190</v>
      </c>
      <c r="BK113" s="25" t="s">
        <v>191</v>
      </c>
    </row>
    <row r="114" spans="56:64" x14ac:dyDescent="0.2">
      <c r="BE114" s="25" t="s">
        <v>298</v>
      </c>
      <c r="BF114" s="25" t="s">
        <v>299</v>
      </c>
      <c r="BJ114" s="25" t="s">
        <v>291</v>
      </c>
      <c r="BK114" s="25" t="s">
        <v>214</v>
      </c>
    </row>
    <row r="115" spans="56:64" x14ac:dyDescent="0.2">
      <c r="BE115" s="25" t="s">
        <v>158</v>
      </c>
      <c r="BF115" s="39"/>
      <c r="BJ115" s="25" t="s">
        <v>158</v>
      </c>
      <c r="BK115" s="39"/>
    </row>
    <row r="116" spans="56:64" x14ac:dyDescent="0.2">
      <c r="BE116" s="25" t="s">
        <v>282</v>
      </c>
      <c r="BJ116" s="25" t="s">
        <v>284</v>
      </c>
      <c r="BK116" s="39"/>
    </row>
    <row r="118" spans="56:64" x14ac:dyDescent="0.2">
      <c r="BD118">
        <v>147</v>
      </c>
      <c r="BE118" s="25" t="s">
        <v>159</v>
      </c>
      <c r="BF118" s="25" t="s">
        <v>174</v>
      </c>
      <c r="BI118" s="51">
        <v>235</v>
      </c>
      <c r="BJ118" s="25" t="s">
        <v>159</v>
      </c>
      <c r="BK118" s="25" t="s">
        <v>174</v>
      </c>
      <c r="BL118" s="39"/>
    </row>
    <row r="119" spans="56:64" x14ac:dyDescent="0.2">
      <c r="BE119" s="25" t="s">
        <v>10</v>
      </c>
      <c r="BF119" s="25" t="s">
        <v>179</v>
      </c>
      <c r="BJ119" s="25" t="s">
        <v>184</v>
      </c>
      <c r="BK119" s="25" t="s">
        <v>179</v>
      </c>
      <c r="BL119" s="39"/>
    </row>
    <row r="120" spans="56:64" x14ac:dyDescent="0.2">
      <c r="BE120" s="25" t="s">
        <v>286</v>
      </c>
      <c r="BF120" s="25" t="s">
        <v>287</v>
      </c>
      <c r="BJ120" s="25" t="s">
        <v>190</v>
      </c>
      <c r="BK120" s="25" t="s">
        <v>191</v>
      </c>
      <c r="BL120" s="39"/>
    </row>
    <row r="121" spans="56:64" x14ac:dyDescent="0.2">
      <c r="BE121" s="25" t="s">
        <v>56</v>
      </c>
      <c r="BF121" s="25" t="s">
        <v>254</v>
      </c>
      <c r="BJ121" s="25" t="s">
        <v>304</v>
      </c>
      <c r="BK121" s="25" t="s">
        <v>317</v>
      </c>
      <c r="BL121" s="39"/>
    </row>
    <row r="122" spans="56:64" x14ac:dyDescent="0.2">
      <c r="BE122" s="25" t="s">
        <v>158</v>
      </c>
      <c r="BF122" s="39"/>
      <c r="BJ122" s="25" t="s">
        <v>158</v>
      </c>
      <c r="BK122" s="39"/>
      <c r="BL122" s="39"/>
    </row>
    <row r="123" spans="56:64" x14ac:dyDescent="0.2">
      <c r="BE123" s="25" t="s">
        <v>282</v>
      </c>
      <c r="BJ123" s="25" t="s">
        <v>284</v>
      </c>
      <c r="BK123" s="39"/>
      <c r="BL123" s="39"/>
    </row>
    <row r="124" spans="56:64" x14ac:dyDescent="0.2">
      <c r="BJ124" s="39"/>
      <c r="BK124" s="39"/>
      <c r="BL124" s="39"/>
    </row>
    <row r="125" spans="56:64" x14ac:dyDescent="0.2">
      <c r="BD125">
        <v>156</v>
      </c>
      <c r="BE125" s="25" t="s">
        <v>159</v>
      </c>
      <c r="BF125" s="25" t="s">
        <v>174</v>
      </c>
      <c r="BI125" s="51">
        <v>236</v>
      </c>
      <c r="BJ125" s="25" t="s">
        <v>159</v>
      </c>
      <c r="BK125" s="25" t="s">
        <v>174</v>
      </c>
      <c r="BL125" s="39"/>
    </row>
    <row r="126" spans="56:64" x14ac:dyDescent="0.2">
      <c r="BE126" s="25" t="s">
        <v>10</v>
      </c>
      <c r="BF126" s="25" t="s">
        <v>179</v>
      </c>
      <c r="BJ126" s="25" t="s">
        <v>184</v>
      </c>
      <c r="BK126" s="25" t="s">
        <v>179</v>
      </c>
      <c r="BL126" s="39"/>
    </row>
    <row r="127" spans="56:64" x14ac:dyDescent="0.2">
      <c r="BE127" s="25" t="s">
        <v>296</v>
      </c>
      <c r="BF127" s="25" t="s">
        <v>294</v>
      </c>
      <c r="BJ127" s="25" t="s">
        <v>190</v>
      </c>
      <c r="BK127" s="25" t="s">
        <v>191</v>
      </c>
      <c r="BL127" s="39"/>
    </row>
    <row r="128" spans="56:64" x14ac:dyDescent="0.2">
      <c r="BE128" s="25" t="s">
        <v>298</v>
      </c>
      <c r="BF128" s="25" t="s">
        <v>299</v>
      </c>
      <c r="BJ128" s="25" t="s">
        <v>56</v>
      </c>
      <c r="BK128" s="25" t="s">
        <v>238</v>
      </c>
      <c r="BL128" s="39"/>
    </row>
    <row r="129" spans="56:64" x14ac:dyDescent="0.2">
      <c r="BE129" s="25" t="s">
        <v>158</v>
      </c>
      <c r="BF129" s="39"/>
      <c r="BJ129" s="25" t="s">
        <v>158</v>
      </c>
      <c r="BK129" s="39"/>
      <c r="BL129" s="39"/>
    </row>
    <row r="130" spans="56:64" x14ac:dyDescent="0.2">
      <c r="BE130" s="25" t="s">
        <v>282</v>
      </c>
      <c r="BJ130" s="25" t="s">
        <v>284</v>
      </c>
      <c r="BK130" s="39"/>
      <c r="BL130" s="39"/>
    </row>
    <row r="131" spans="56:64" x14ac:dyDescent="0.2">
      <c r="BJ131" s="39"/>
      <c r="BK131" s="39"/>
      <c r="BL131" s="39"/>
    </row>
    <row r="132" spans="56:64" x14ac:dyDescent="0.2">
      <c r="BD132">
        <v>157</v>
      </c>
      <c r="BE132" s="25" t="s">
        <v>159</v>
      </c>
      <c r="BF132" s="25" t="s">
        <v>174</v>
      </c>
      <c r="BI132" s="51">
        <v>245</v>
      </c>
      <c r="BJ132" s="25" t="s">
        <v>159</v>
      </c>
      <c r="BK132" s="25" t="s">
        <v>174</v>
      </c>
      <c r="BL132" s="39"/>
    </row>
    <row r="133" spans="56:64" x14ac:dyDescent="0.2">
      <c r="BE133" s="25" t="s">
        <v>10</v>
      </c>
      <c r="BF133" s="25" t="s">
        <v>179</v>
      </c>
      <c r="BJ133" s="25" t="s">
        <v>184</v>
      </c>
      <c r="BK133" s="25" t="s">
        <v>179</v>
      </c>
      <c r="BL133" s="39"/>
    </row>
    <row r="134" spans="56:64" x14ac:dyDescent="0.2">
      <c r="BE134" s="25" t="s">
        <v>296</v>
      </c>
      <c r="BF134" s="25" t="s">
        <v>294</v>
      </c>
      <c r="BJ134" s="25" t="s">
        <v>291</v>
      </c>
      <c r="BK134" s="25" t="s">
        <v>214</v>
      </c>
      <c r="BL134" s="39"/>
    </row>
    <row r="135" spans="56:64" x14ac:dyDescent="0.2">
      <c r="BE135" s="25" t="s">
        <v>56</v>
      </c>
      <c r="BF135" s="25" t="s">
        <v>254</v>
      </c>
      <c r="BJ135" s="25" t="s">
        <v>304</v>
      </c>
      <c r="BK135" s="25" t="s">
        <v>317</v>
      </c>
      <c r="BL135" s="39"/>
    </row>
    <row r="136" spans="56:64" x14ac:dyDescent="0.2">
      <c r="BE136" s="25" t="s">
        <v>158</v>
      </c>
      <c r="BF136" s="39"/>
      <c r="BJ136" s="25" t="s">
        <v>158</v>
      </c>
      <c r="BK136" s="39"/>
      <c r="BL136" s="39"/>
    </row>
    <row r="137" spans="56:64" x14ac:dyDescent="0.2">
      <c r="BE137" s="25" t="s">
        <v>282</v>
      </c>
      <c r="BJ137" s="25" t="s">
        <v>284</v>
      </c>
      <c r="BK137" s="39"/>
      <c r="BL137" s="39"/>
    </row>
    <row r="138" spans="56:64" x14ac:dyDescent="0.2">
      <c r="BJ138" s="39"/>
      <c r="BK138" s="39"/>
      <c r="BL138" s="39"/>
    </row>
    <row r="139" spans="56:64" x14ac:dyDescent="0.2">
      <c r="BD139">
        <v>167</v>
      </c>
      <c r="BE139" s="15" t="s">
        <v>159</v>
      </c>
      <c r="BF139" s="15" t="s">
        <v>174</v>
      </c>
      <c r="BI139" s="51">
        <v>246</v>
      </c>
      <c r="BJ139" s="25" t="s">
        <v>159</v>
      </c>
      <c r="BK139" s="25" t="s">
        <v>174</v>
      </c>
      <c r="BL139" s="39"/>
    </row>
    <row r="140" spans="56:64" x14ac:dyDescent="0.2">
      <c r="BE140" s="15" t="s">
        <v>10</v>
      </c>
      <c r="BF140" s="15" t="s">
        <v>179</v>
      </c>
      <c r="BJ140" s="25" t="s">
        <v>184</v>
      </c>
      <c r="BK140" s="25" t="s">
        <v>179</v>
      </c>
      <c r="BL140" s="39"/>
    </row>
    <row r="141" spans="56:64" x14ac:dyDescent="0.2">
      <c r="BE141" s="15" t="s">
        <v>298</v>
      </c>
      <c r="BF141" s="15" t="s">
        <v>299</v>
      </c>
      <c r="BG141" s="236" t="s">
        <v>411</v>
      </c>
      <c r="BH141" s="237"/>
      <c r="BI141" s="76"/>
      <c r="BJ141" s="25" t="s">
        <v>291</v>
      </c>
      <c r="BK141" s="25" t="s">
        <v>214</v>
      </c>
      <c r="BL141" s="39"/>
    </row>
    <row r="142" spans="56:64" x14ac:dyDescent="0.2">
      <c r="BE142" s="15" t="s">
        <v>56</v>
      </c>
      <c r="BF142" s="15" t="s">
        <v>254</v>
      </c>
      <c r="BJ142" s="25" t="s">
        <v>56</v>
      </c>
      <c r="BK142" s="25" t="s">
        <v>238</v>
      </c>
      <c r="BL142" s="39"/>
    </row>
    <row r="143" spans="56:64" x14ac:dyDescent="0.2">
      <c r="BE143" s="15" t="s">
        <v>158</v>
      </c>
      <c r="BF143" s="39"/>
      <c r="BJ143" s="25" t="s">
        <v>158</v>
      </c>
      <c r="BK143" s="39"/>
      <c r="BL143" s="39"/>
    </row>
    <row r="144" spans="56:64" x14ac:dyDescent="0.2">
      <c r="BE144" s="15" t="s">
        <v>282</v>
      </c>
      <c r="BJ144" s="25" t="s">
        <v>284</v>
      </c>
      <c r="BK144" s="39"/>
      <c r="BL144" s="39"/>
    </row>
    <row r="145" spans="56:64" x14ac:dyDescent="0.2">
      <c r="BJ145" s="39"/>
      <c r="BK145" s="39"/>
      <c r="BL145" s="39"/>
    </row>
    <row r="146" spans="56:64" x14ac:dyDescent="0.2">
      <c r="BD146">
        <v>234</v>
      </c>
      <c r="BE146" s="25" t="s">
        <v>159</v>
      </c>
      <c r="BF146" s="25" t="s">
        <v>174</v>
      </c>
      <c r="BI146" s="51">
        <v>256</v>
      </c>
      <c r="BJ146" s="25" t="s">
        <v>159</v>
      </c>
      <c r="BK146" s="25" t="s">
        <v>174</v>
      </c>
    </row>
    <row r="147" spans="56:64" x14ac:dyDescent="0.2">
      <c r="BE147" s="25" t="s">
        <v>184</v>
      </c>
      <c r="BF147" s="25" t="s">
        <v>179</v>
      </c>
      <c r="BJ147" s="25" t="s">
        <v>184</v>
      </c>
      <c r="BK147" s="25" t="s">
        <v>179</v>
      </c>
    </row>
    <row r="148" spans="56:64" x14ac:dyDescent="0.2">
      <c r="BE148" s="25" t="s">
        <v>190</v>
      </c>
      <c r="BF148" s="25" t="s">
        <v>191</v>
      </c>
      <c r="BJ148" s="25" t="s">
        <v>304</v>
      </c>
      <c r="BK148" s="25" t="s">
        <v>317</v>
      </c>
    </row>
    <row r="149" spans="56:64" x14ac:dyDescent="0.2">
      <c r="BE149" s="25" t="s">
        <v>286</v>
      </c>
      <c r="BF149" s="25" t="s">
        <v>287</v>
      </c>
      <c r="BJ149" s="25" t="s">
        <v>56</v>
      </c>
      <c r="BK149" s="25" t="s">
        <v>238</v>
      </c>
    </row>
    <row r="150" spans="56:64" x14ac:dyDescent="0.2">
      <c r="BE150" s="25" t="s">
        <v>158</v>
      </c>
      <c r="BF150" s="39"/>
      <c r="BJ150" s="25" t="s">
        <v>158</v>
      </c>
      <c r="BK150" s="39"/>
    </row>
    <row r="151" spans="56:64" x14ac:dyDescent="0.2">
      <c r="BE151" s="25" t="s">
        <v>282</v>
      </c>
      <c r="BJ151" s="25" t="s">
        <v>284</v>
      </c>
      <c r="BK151" s="39"/>
    </row>
    <row r="153" spans="56:64" x14ac:dyDescent="0.2">
      <c r="BD153">
        <v>235</v>
      </c>
      <c r="BE153" s="25" t="s">
        <v>159</v>
      </c>
      <c r="BF153" s="25" t="s">
        <v>174</v>
      </c>
      <c r="BI153" s="51">
        <v>345</v>
      </c>
      <c r="BJ153" s="25" t="s">
        <v>159</v>
      </c>
      <c r="BK153" s="25" t="s">
        <v>174</v>
      </c>
    </row>
    <row r="154" spans="56:64" x14ac:dyDescent="0.2">
      <c r="BE154" s="25" t="s">
        <v>184</v>
      </c>
      <c r="BF154" s="25" t="s">
        <v>179</v>
      </c>
      <c r="BJ154" s="25" t="s">
        <v>190</v>
      </c>
      <c r="BK154" s="25" t="s">
        <v>191</v>
      </c>
    </row>
    <row r="155" spans="56:64" x14ac:dyDescent="0.2">
      <c r="BE155" s="25" t="s">
        <v>190</v>
      </c>
      <c r="BF155" s="25" t="s">
        <v>191</v>
      </c>
      <c r="BJ155" s="25" t="s">
        <v>291</v>
      </c>
      <c r="BK155" s="25" t="s">
        <v>214</v>
      </c>
    </row>
    <row r="156" spans="56:64" x14ac:dyDescent="0.2">
      <c r="BE156" s="25" t="s">
        <v>296</v>
      </c>
      <c r="BF156" s="25" t="s">
        <v>294</v>
      </c>
      <c r="BJ156" s="25" t="s">
        <v>304</v>
      </c>
      <c r="BK156" s="25" t="s">
        <v>317</v>
      </c>
    </row>
    <row r="157" spans="56:64" x14ac:dyDescent="0.2">
      <c r="BE157" s="25" t="s">
        <v>158</v>
      </c>
      <c r="BF157" s="39"/>
      <c r="BJ157" s="25" t="s">
        <v>158</v>
      </c>
      <c r="BK157" s="39"/>
    </row>
    <row r="158" spans="56:64" x14ac:dyDescent="0.2">
      <c r="BE158" s="25" t="s">
        <v>282</v>
      </c>
      <c r="BJ158" s="25" t="s">
        <v>284</v>
      </c>
      <c r="BK158" s="39"/>
    </row>
    <row r="160" spans="56:64" x14ac:dyDescent="0.2">
      <c r="BD160">
        <v>236</v>
      </c>
      <c r="BE160" s="15" t="s">
        <v>159</v>
      </c>
      <c r="BF160" s="15" t="s">
        <v>174</v>
      </c>
      <c r="BI160" s="51">
        <v>346</v>
      </c>
      <c r="BJ160" s="25" t="s">
        <v>159</v>
      </c>
      <c r="BK160" s="25" t="s">
        <v>174</v>
      </c>
    </row>
    <row r="161" spans="56:65" x14ac:dyDescent="0.2">
      <c r="BE161" s="15" t="s">
        <v>184</v>
      </c>
      <c r="BF161" s="15" t="s">
        <v>179</v>
      </c>
      <c r="BJ161" s="25" t="s">
        <v>190</v>
      </c>
      <c r="BK161" s="25" t="s">
        <v>191</v>
      </c>
    </row>
    <row r="162" spans="56:65" x14ac:dyDescent="0.2">
      <c r="BE162" s="15" t="s">
        <v>190</v>
      </c>
      <c r="BF162" s="15" t="s">
        <v>191</v>
      </c>
      <c r="BG162" s="236" t="s">
        <v>410</v>
      </c>
      <c r="BH162" s="237"/>
      <c r="BI162" s="76"/>
      <c r="BJ162" s="25" t="s">
        <v>291</v>
      </c>
      <c r="BK162" s="25" t="s">
        <v>214</v>
      </c>
    </row>
    <row r="163" spans="56:65" x14ac:dyDescent="0.2">
      <c r="BE163" s="15" t="s">
        <v>298</v>
      </c>
      <c r="BF163" s="15" t="s">
        <v>299</v>
      </c>
      <c r="BJ163" s="25" t="s">
        <v>56</v>
      </c>
      <c r="BK163" s="25" t="s">
        <v>238</v>
      </c>
    </row>
    <row r="164" spans="56:65" x14ac:dyDescent="0.2">
      <c r="BE164" s="15" t="s">
        <v>158</v>
      </c>
      <c r="BF164" s="39"/>
      <c r="BJ164" s="25" t="s">
        <v>158</v>
      </c>
      <c r="BK164" s="39"/>
    </row>
    <row r="165" spans="56:65" x14ac:dyDescent="0.2">
      <c r="BE165" s="15" t="s">
        <v>282</v>
      </c>
      <c r="BJ165" s="25" t="s">
        <v>284</v>
      </c>
      <c r="BK165" s="39"/>
    </row>
    <row r="167" spans="56:65" x14ac:dyDescent="0.2">
      <c r="BD167">
        <v>237</v>
      </c>
      <c r="BE167" s="15" t="s">
        <v>159</v>
      </c>
      <c r="BF167" s="15" t="s">
        <v>174</v>
      </c>
      <c r="BI167" s="51">
        <v>356</v>
      </c>
      <c r="BJ167" s="25" t="s">
        <v>159</v>
      </c>
      <c r="BK167" s="25" t="s">
        <v>174</v>
      </c>
    </row>
    <row r="168" spans="56:65" x14ac:dyDescent="0.2">
      <c r="BE168" s="15" t="s">
        <v>184</v>
      </c>
      <c r="BF168" s="15" t="s">
        <v>179</v>
      </c>
      <c r="BJ168" s="25" t="s">
        <v>190</v>
      </c>
      <c r="BK168" s="25" t="s">
        <v>191</v>
      </c>
    </row>
    <row r="169" spans="56:65" x14ac:dyDescent="0.2">
      <c r="BE169" s="15" t="s">
        <v>190</v>
      </c>
      <c r="BF169" s="15" t="s">
        <v>191</v>
      </c>
      <c r="BG169" s="236" t="s">
        <v>409</v>
      </c>
      <c r="BH169" s="237"/>
      <c r="BI169" s="75"/>
      <c r="BJ169" s="25" t="s">
        <v>304</v>
      </c>
      <c r="BK169" s="25" t="s">
        <v>317</v>
      </c>
      <c r="BL169" s="241" t="s">
        <v>412</v>
      </c>
      <c r="BM169" s="242"/>
    </row>
    <row r="170" spans="56:65" x14ac:dyDescent="0.2">
      <c r="BE170" s="15" t="s">
        <v>56</v>
      </c>
      <c r="BF170" s="15" t="s">
        <v>254</v>
      </c>
      <c r="BJ170" s="25" t="s">
        <v>56</v>
      </c>
      <c r="BK170" s="25" t="s">
        <v>238</v>
      </c>
    </row>
    <row r="171" spans="56:65" x14ac:dyDescent="0.2">
      <c r="BE171" s="15" t="s">
        <v>158</v>
      </c>
      <c r="BF171" s="39"/>
      <c r="BJ171" s="25" t="s">
        <v>158</v>
      </c>
      <c r="BK171" s="39"/>
    </row>
    <row r="172" spans="56:65" x14ac:dyDescent="0.2">
      <c r="BE172" s="15" t="s">
        <v>282</v>
      </c>
      <c r="BJ172" s="25" t="s">
        <v>284</v>
      </c>
      <c r="BK172" s="39"/>
    </row>
    <row r="174" spans="56:65" x14ac:dyDescent="0.2">
      <c r="BD174">
        <v>245</v>
      </c>
      <c r="BE174" s="25" t="s">
        <v>159</v>
      </c>
      <c r="BF174" s="25" t="s">
        <v>174</v>
      </c>
      <c r="BI174" s="51">
        <v>456</v>
      </c>
      <c r="BJ174" s="25" t="s">
        <v>159</v>
      </c>
      <c r="BK174" s="25" t="s">
        <v>174</v>
      </c>
    </row>
    <row r="175" spans="56:65" x14ac:dyDescent="0.2">
      <c r="BE175" s="25" t="s">
        <v>184</v>
      </c>
      <c r="BF175" s="25" t="s">
        <v>179</v>
      </c>
      <c r="BJ175" s="25" t="s">
        <v>291</v>
      </c>
      <c r="BK175" s="25" t="s">
        <v>214</v>
      </c>
    </row>
    <row r="176" spans="56:65" x14ac:dyDescent="0.2">
      <c r="BE176" s="25" t="s">
        <v>286</v>
      </c>
      <c r="BF176" s="25" t="s">
        <v>287</v>
      </c>
      <c r="BJ176" s="25" t="s">
        <v>304</v>
      </c>
      <c r="BK176" s="25" t="s">
        <v>317</v>
      </c>
    </row>
    <row r="177" spans="52:65" ht="30" customHeight="1" x14ac:dyDescent="0.2">
      <c r="AZ177" s="244" t="s">
        <v>408</v>
      </c>
      <c r="BA177" s="242"/>
      <c r="BB177" s="242"/>
      <c r="BC177" s="242"/>
      <c r="BD177" s="245"/>
      <c r="BE177" s="25" t="s">
        <v>296</v>
      </c>
      <c r="BF177" s="25" t="s">
        <v>294</v>
      </c>
      <c r="BH177" s="119"/>
      <c r="BI177" s="71"/>
      <c r="BJ177" s="25" t="s">
        <v>56</v>
      </c>
      <c r="BK177" s="25" t="s">
        <v>238</v>
      </c>
      <c r="BL177" s="71"/>
      <c r="BM177" s="71"/>
    </row>
    <row r="178" spans="52:65" x14ac:dyDescent="0.2">
      <c r="BE178" s="25" t="s">
        <v>158</v>
      </c>
      <c r="BF178" s="39"/>
      <c r="BJ178" s="25" t="s">
        <v>158</v>
      </c>
      <c r="BK178" s="39"/>
    </row>
    <row r="179" spans="52:65" x14ac:dyDescent="0.2">
      <c r="BE179" s="25" t="s">
        <v>282</v>
      </c>
      <c r="BJ179" s="25" t="s">
        <v>284</v>
      </c>
      <c r="BK179" s="39"/>
    </row>
    <row r="181" spans="52:65" x14ac:dyDescent="0.2">
      <c r="BD181">
        <v>246</v>
      </c>
      <c r="BE181" s="15" t="s">
        <v>159</v>
      </c>
      <c r="BF181" s="15" t="s">
        <v>174</v>
      </c>
    </row>
    <row r="182" spans="52:65" x14ac:dyDescent="0.2">
      <c r="BE182" s="15" t="s">
        <v>184</v>
      </c>
      <c r="BF182" s="15" t="s">
        <v>179</v>
      </c>
    </row>
    <row r="183" spans="52:65" x14ac:dyDescent="0.2">
      <c r="BE183" s="15" t="s">
        <v>286</v>
      </c>
      <c r="BF183" s="15" t="s">
        <v>287</v>
      </c>
      <c r="BG183" s="236" t="s">
        <v>407</v>
      </c>
      <c r="BH183" s="237"/>
      <c r="BI183" s="75"/>
    </row>
    <row r="184" spans="52:65" x14ac:dyDescent="0.2">
      <c r="BE184" s="15" t="s">
        <v>298</v>
      </c>
      <c r="BF184" s="15" t="s">
        <v>299</v>
      </c>
    </row>
    <row r="185" spans="52:65" x14ac:dyDescent="0.2">
      <c r="BE185" s="15" t="s">
        <v>158</v>
      </c>
      <c r="BF185" s="39"/>
    </row>
    <row r="186" spans="52:65" x14ac:dyDescent="0.2">
      <c r="BE186" s="15" t="s">
        <v>282</v>
      </c>
    </row>
    <row r="188" spans="52:65" x14ac:dyDescent="0.2">
      <c r="BD188">
        <v>247</v>
      </c>
      <c r="BE188" s="15" t="s">
        <v>159</v>
      </c>
      <c r="BF188" s="15" t="s">
        <v>174</v>
      </c>
    </row>
    <row r="189" spans="52:65" x14ac:dyDescent="0.2">
      <c r="BE189" s="15" t="s">
        <v>184</v>
      </c>
      <c r="BF189" s="15" t="s">
        <v>179</v>
      </c>
    </row>
    <row r="190" spans="52:65" x14ac:dyDescent="0.2">
      <c r="BE190" s="15" t="s">
        <v>286</v>
      </c>
      <c r="BF190" s="15" t="s">
        <v>287</v>
      </c>
      <c r="BG190" s="236" t="s">
        <v>406</v>
      </c>
      <c r="BH190" s="237"/>
      <c r="BI190" s="75"/>
    </row>
    <row r="191" spans="52:65" x14ac:dyDescent="0.2">
      <c r="BE191" s="15" t="s">
        <v>56</v>
      </c>
      <c r="BF191" s="15" t="s">
        <v>254</v>
      </c>
    </row>
    <row r="192" spans="52:65" x14ac:dyDescent="0.2">
      <c r="BE192" s="15" t="s">
        <v>158</v>
      </c>
      <c r="BF192" s="39"/>
    </row>
    <row r="193" spans="56:61" x14ac:dyDescent="0.2">
      <c r="BE193" s="15" t="s">
        <v>282</v>
      </c>
    </row>
    <row r="195" spans="56:61" x14ac:dyDescent="0.2">
      <c r="BD195">
        <v>256</v>
      </c>
      <c r="BE195" s="25" t="s">
        <v>159</v>
      </c>
      <c r="BF195" s="25" t="s">
        <v>174</v>
      </c>
    </row>
    <row r="196" spans="56:61" x14ac:dyDescent="0.2">
      <c r="BE196" s="25" t="s">
        <v>184</v>
      </c>
      <c r="BF196" s="25" t="s">
        <v>179</v>
      </c>
    </row>
    <row r="197" spans="56:61" x14ac:dyDescent="0.2">
      <c r="BE197" s="25" t="s">
        <v>296</v>
      </c>
      <c r="BF197" s="25" t="s">
        <v>294</v>
      </c>
    </row>
    <row r="198" spans="56:61" x14ac:dyDescent="0.2">
      <c r="BE198" s="25" t="s">
        <v>298</v>
      </c>
      <c r="BF198" s="25" t="s">
        <v>299</v>
      </c>
    </row>
    <row r="199" spans="56:61" x14ac:dyDescent="0.2">
      <c r="BE199" s="25" t="s">
        <v>158</v>
      </c>
      <c r="BF199" s="39"/>
    </row>
    <row r="200" spans="56:61" x14ac:dyDescent="0.2">
      <c r="BE200" s="25" t="s">
        <v>282</v>
      </c>
    </row>
    <row r="202" spans="56:61" x14ac:dyDescent="0.2">
      <c r="BD202">
        <v>257</v>
      </c>
      <c r="BE202" s="15" t="s">
        <v>159</v>
      </c>
      <c r="BF202" s="15" t="s">
        <v>174</v>
      </c>
    </row>
    <row r="203" spans="56:61" x14ac:dyDescent="0.2">
      <c r="BE203" s="15" t="s">
        <v>184</v>
      </c>
      <c r="BF203" s="15" t="s">
        <v>179</v>
      </c>
    </row>
    <row r="204" spans="56:61" x14ac:dyDescent="0.2">
      <c r="BE204" s="15" t="s">
        <v>296</v>
      </c>
      <c r="BF204" s="15" t="s">
        <v>294</v>
      </c>
      <c r="BG204" s="236" t="s">
        <v>405</v>
      </c>
      <c r="BH204" s="237"/>
      <c r="BI204" s="75"/>
    </row>
    <row r="205" spans="56:61" x14ac:dyDescent="0.2">
      <c r="BE205" s="15" t="s">
        <v>56</v>
      </c>
      <c r="BF205" s="15" t="s">
        <v>254</v>
      </c>
    </row>
    <row r="206" spans="56:61" x14ac:dyDescent="0.2">
      <c r="BE206" s="15" t="s">
        <v>158</v>
      </c>
      <c r="BF206" s="39"/>
    </row>
    <row r="207" spans="56:61" x14ac:dyDescent="0.2">
      <c r="BE207" s="15" t="s">
        <v>282</v>
      </c>
    </row>
    <row r="209" spans="56:61" x14ac:dyDescent="0.2">
      <c r="BD209">
        <v>267</v>
      </c>
      <c r="BE209" s="25" t="s">
        <v>159</v>
      </c>
      <c r="BF209" s="25" t="s">
        <v>174</v>
      </c>
    </row>
    <row r="210" spans="56:61" x14ac:dyDescent="0.2">
      <c r="BE210" s="25" t="s">
        <v>184</v>
      </c>
      <c r="BF210" s="25" t="s">
        <v>179</v>
      </c>
    </row>
    <row r="211" spans="56:61" x14ac:dyDescent="0.2">
      <c r="BE211" s="25" t="s">
        <v>298</v>
      </c>
      <c r="BF211" s="25" t="s">
        <v>299</v>
      </c>
    </row>
    <row r="212" spans="56:61" x14ac:dyDescent="0.2">
      <c r="BE212" s="25" t="s">
        <v>56</v>
      </c>
      <c r="BF212" s="25" t="s">
        <v>254</v>
      </c>
    </row>
    <row r="213" spans="56:61" x14ac:dyDescent="0.2">
      <c r="BE213" s="25" t="s">
        <v>158</v>
      </c>
      <c r="BF213" s="39"/>
    </row>
    <row r="214" spans="56:61" x14ac:dyDescent="0.2">
      <c r="BE214" s="25" t="s">
        <v>282</v>
      </c>
    </row>
    <row r="216" spans="56:61" x14ac:dyDescent="0.2">
      <c r="BD216">
        <v>345</v>
      </c>
      <c r="BE216" s="25" t="s">
        <v>159</v>
      </c>
      <c r="BF216" s="25" t="s">
        <v>174</v>
      </c>
    </row>
    <row r="217" spans="56:61" x14ac:dyDescent="0.2">
      <c r="BE217" s="25" t="s">
        <v>190</v>
      </c>
      <c r="BF217" s="25" t="s">
        <v>191</v>
      </c>
    </row>
    <row r="218" spans="56:61" x14ac:dyDescent="0.2">
      <c r="BE218" s="25" t="s">
        <v>286</v>
      </c>
      <c r="BF218" s="25" t="s">
        <v>287</v>
      </c>
      <c r="BG218" s="104"/>
      <c r="BH218" s="105"/>
      <c r="BI218" s="69"/>
    </row>
    <row r="219" spans="56:61" x14ac:dyDescent="0.2">
      <c r="BE219" s="25" t="s">
        <v>296</v>
      </c>
      <c r="BF219" s="25" t="s">
        <v>294</v>
      </c>
    </row>
    <row r="220" spans="56:61" x14ac:dyDescent="0.2">
      <c r="BE220" s="25" t="s">
        <v>158</v>
      </c>
      <c r="BF220" s="39"/>
    </row>
    <row r="221" spans="56:61" x14ac:dyDescent="0.2">
      <c r="BE221" s="25" t="s">
        <v>282</v>
      </c>
    </row>
    <row r="223" spans="56:61" x14ac:dyDescent="0.2">
      <c r="BD223">
        <v>346</v>
      </c>
      <c r="BE223" s="15" t="s">
        <v>159</v>
      </c>
      <c r="BF223" s="15" t="s">
        <v>174</v>
      </c>
    </row>
    <row r="224" spans="56:61" x14ac:dyDescent="0.2">
      <c r="BE224" s="15" t="s">
        <v>190</v>
      </c>
      <c r="BF224" s="15" t="s">
        <v>191</v>
      </c>
    </row>
    <row r="225" spans="56:61" x14ac:dyDescent="0.2">
      <c r="BE225" s="15" t="s">
        <v>286</v>
      </c>
      <c r="BF225" s="15" t="s">
        <v>287</v>
      </c>
      <c r="BG225" s="236" t="s">
        <v>404</v>
      </c>
      <c r="BH225" s="237"/>
      <c r="BI225" s="75"/>
    </row>
    <row r="226" spans="56:61" x14ac:dyDescent="0.2">
      <c r="BE226" s="15" t="s">
        <v>298</v>
      </c>
      <c r="BF226" s="15" t="s">
        <v>299</v>
      </c>
    </row>
    <row r="227" spans="56:61" x14ac:dyDescent="0.2">
      <c r="BE227" s="15" t="s">
        <v>158</v>
      </c>
      <c r="BF227" s="39"/>
    </row>
    <row r="228" spans="56:61" x14ac:dyDescent="0.2">
      <c r="BE228" s="15" t="s">
        <v>282</v>
      </c>
    </row>
    <row r="230" spans="56:61" x14ac:dyDescent="0.2">
      <c r="BD230">
        <v>347</v>
      </c>
      <c r="BE230" s="25" t="s">
        <v>159</v>
      </c>
      <c r="BF230" s="25" t="s">
        <v>174</v>
      </c>
    </row>
    <row r="231" spans="56:61" x14ac:dyDescent="0.2">
      <c r="BE231" s="25" t="s">
        <v>190</v>
      </c>
      <c r="BF231" s="25" t="s">
        <v>191</v>
      </c>
    </row>
    <row r="232" spans="56:61" x14ac:dyDescent="0.2">
      <c r="BE232" s="25" t="s">
        <v>286</v>
      </c>
      <c r="BF232" s="25" t="s">
        <v>287</v>
      </c>
    </row>
    <row r="233" spans="56:61" x14ac:dyDescent="0.2">
      <c r="BE233" s="25" t="s">
        <v>56</v>
      </c>
      <c r="BF233" s="25" t="s">
        <v>254</v>
      </c>
    </row>
    <row r="234" spans="56:61" x14ac:dyDescent="0.2">
      <c r="BE234" s="25" t="s">
        <v>158</v>
      </c>
      <c r="BF234" s="39"/>
    </row>
    <row r="235" spans="56:61" x14ac:dyDescent="0.2">
      <c r="BE235" s="25" t="s">
        <v>282</v>
      </c>
    </row>
    <row r="237" spans="56:61" x14ac:dyDescent="0.2">
      <c r="BD237">
        <v>356</v>
      </c>
      <c r="BE237" s="25" t="s">
        <v>159</v>
      </c>
      <c r="BF237" s="25" t="s">
        <v>174</v>
      </c>
    </row>
    <row r="238" spans="56:61" x14ac:dyDescent="0.2">
      <c r="BE238" s="25" t="s">
        <v>190</v>
      </c>
      <c r="BF238" s="25" t="s">
        <v>191</v>
      </c>
    </row>
    <row r="239" spans="56:61" x14ac:dyDescent="0.2">
      <c r="BE239" s="25" t="s">
        <v>296</v>
      </c>
      <c r="BF239" s="25" t="s">
        <v>294</v>
      </c>
    </row>
    <row r="240" spans="56:61" x14ac:dyDescent="0.2">
      <c r="BE240" s="25" t="s">
        <v>298</v>
      </c>
      <c r="BF240" s="25" t="s">
        <v>299</v>
      </c>
    </row>
    <row r="241" spans="56:61" x14ac:dyDescent="0.2">
      <c r="BE241" s="25" t="s">
        <v>158</v>
      </c>
      <c r="BF241" s="39"/>
    </row>
    <row r="242" spans="56:61" x14ac:dyDescent="0.2">
      <c r="BE242" s="25" t="s">
        <v>282</v>
      </c>
    </row>
    <row r="244" spans="56:61" x14ac:dyDescent="0.2">
      <c r="BD244">
        <v>357</v>
      </c>
      <c r="BE244" s="15" t="s">
        <v>159</v>
      </c>
      <c r="BF244" s="15" t="s">
        <v>174</v>
      </c>
    </row>
    <row r="245" spans="56:61" x14ac:dyDescent="0.2">
      <c r="BE245" s="15" t="s">
        <v>190</v>
      </c>
      <c r="BF245" s="15" t="s">
        <v>191</v>
      </c>
    </row>
    <row r="246" spans="56:61" x14ac:dyDescent="0.2">
      <c r="BE246" s="15" t="s">
        <v>296</v>
      </c>
      <c r="BF246" s="15" t="s">
        <v>294</v>
      </c>
      <c r="BG246" s="236" t="s">
        <v>403</v>
      </c>
      <c r="BH246" s="237"/>
      <c r="BI246" s="75"/>
    </row>
    <row r="247" spans="56:61" x14ac:dyDescent="0.2">
      <c r="BE247" s="15" t="s">
        <v>56</v>
      </c>
      <c r="BF247" s="15" t="s">
        <v>254</v>
      </c>
    </row>
    <row r="248" spans="56:61" x14ac:dyDescent="0.2">
      <c r="BE248" s="15" t="s">
        <v>158</v>
      </c>
      <c r="BF248" s="39"/>
    </row>
    <row r="249" spans="56:61" x14ac:dyDescent="0.2">
      <c r="BE249" s="15" t="s">
        <v>282</v>
      </c>
    </row>
    <row r="251" spans="56:61" x14ac:dyDescent="0.2">
      <c r="BD251">
        <v>367</v>
      </c>
      <c r="BE251" s="25" t="s">
        <v>159</v>
      </c>
      <c r="BF251" s="25" t="s">
        <v>174</v>
      </c>
    </row>
    <row r="252" spans="56:61" x14ac:dyDescent="0.2">
      <c r="BE252" s="25" t="s">
        <v>190</v>
      </c>
      <c r="BF252" s="25" t="s">
        <v>191</v>
      </c>
    </row>
    <row r="253" spans="56:61" x14ac:dyDescent="0.2">
      <c r="BE253" s="25" t="s">
        <v>298</v>
      </c>
      <c r="BF253" s="25" t="s">
        <v>299</v>
      </c>
      <c r="BG253" s="236" t="s">
        <v>400</v>
      </c>
      <c r="BH253" s="243"/>
    </row>
    <row r="254" spans="56:61" x14ac:dyDescent="0.2">
      <c r="BE254" s="25" t="s">
        <v>56</v>
      </c>
      <c r="BF254" s="25" t="s">
        <v>254</v>
      </c>
    </row>
    <row r="255" spans="56:61" x14ac:dyDescent="0.2">
      <c r="BE255" s="25" t="s">
        <v>158</v>
      </c>
      <c r="BF255" s="39"/>
    </row>
    <row r="256" spans="56:61" x14ac:dyDescent="0.2">
      <c r="BE256" s="25" t="s">
        <v>282</v>
      </c>
    </row>
    <row r="258" spans="56:61" x14ac:dyDescent="0.2">
      <c r="BD258">
        <v>456</v>
      </c>
      <c r="BE258" s="15" t="s">
        <v>159</v>
      </c>
      <c r="BF258" s="15" t="s">
        <v>174</v>
      </c>
    </row>
    <row r="259" spans="56:61" x14ac:dyDescent="0.2">
      <c r="BE259" s="15" t="s">
        <v>286</v>
      </c>
      <c r="BF259" s="15" t="s">
        <v>287</v>
      </c>
    </row>
    <row r="260" spans="56:61" x14ac:dyDescent="0.2">
      <c r="BE260" s="15" t="s">
        <v>296</v>
      </c>
      <c r="BF260" s="15" t="s">
        <v>294</v>
      </c>
      <c r="BG260" s="236" t="s">
        <v>402</v>
      </c>
      <c r="BH260" s="237"/>
      <c r="BI260" s="75"/>
    </row>
    <row r="261" spans="56:61" x14ac:dyDescent="0.2">
      <c r="BE261" s="15" t="s">
        <v>298</v>
      </c>
      <c r="BF261" s="15" t="s">
        <v>299</v>
      </c>
    </row>
    <row r="262" spans="56:61" x14ac:dyDescent="0.2">
      <c r="BE262" s="15" t="s">
        <v>158</v>
      </c>
      <c r="BF262" s="39"/>
    </row>
    <row r="263" spans="56:61" x14ac:dyDescent="0.2">
      <c r="BE263" s="15" t="s">
        <v>282</v>
      </c>
    </row>
    <row r="265" spans="56:61" x14ac:dyDescent="0.2">
      <c r="BD265">
        <v>457</v>
      </c>
      <c r="BE265" s="15" t="s">
        <v>159</v>
      </c>
      <c r="BF265" s="15" t="s">
        <v>174</v>
      </c>
    </row>
    <row r="266" spans="56:61" x14ac:dyDescent="0.2">
      <c r="BE266" s="15" t="s">
        <v>286</v>
      </c>
      <c r="BF266" s="15" t="s">
        <v>287</v>
      </c>
      <c r="BG266" s="236" t="s">
        <v>401</v>
      </c>
      <c r="BH266" s="243"/>
      <c r="BI266" s="74"/>
    </row>
    <row r="267" spans="56:61" x14ac:dyDescent="0.2">
      <c r="BE267" s="15" t="s">
        <v>296</v>
      </c>
      <c r="BF267" s="15" t="s">
        <v>294</v>
      </c>
    </row>
    <row r="268" spans="56:61" x14ac:dyDescent="0.2">
      <c r="BE268" s="15" t="s">
        <v>56</v>
      </c>
      <c r="BF268" s="15" t="s">
        <v>254</v>
      </c>
    </row>
    <row r="269" spans="56:61" x14ac:dyDescent="0.2">
      <c r="BE269" s="15" t="s">
        <v>158</v>
      </c>
      <c r="BF269" s="39"/>
    </row>
    <row r="270" spans="56:61" x14ac:dyDescent="0.2">
      <c r="BE270" s="15" t="s">
        <v>282</v>
      </c>
    </row>
    <row r="272" spans="56:61" x14ac:dyDescent="0.2">
      <c r="BD272">
        <v>467</v>
      </c>
      <c r="BE272" s="15" t="s">
        <v>159</v>
      </c>
      <c r="BF272" s="15" t="s">
        <v>174</v>
      </c>
    </row>
    <row r="273" spans="56:61" x14ac:dyDescent="0.2">
      <c r="BE273" s="15" t="s">
        <v>286</v>
      </c>
      <c r="BF273" s="15" t="s">
        <v>287</v>
      </c>
    </row>
    <row r="274" spans="56:61" x14ac:dyDescent="0.2">
      <c r="BE274" s="15" t="s">
        <v>298</v>
      </c>
      <c r="BF274" s="15" t="s">
        <v>299</v>
      </c>
      <c r="BG274" s="236" t="s">
        <v>416</v>
      </c>
      <c r="BH274" s="243"/>
      <c r="BI274" s="76"/>
    </row>
    <row r="275" spans="56:61" x14ac:dyDescent="0.2">
      <c r="BE275" s="15" t="s">
        <v>56</v>
      </c>
      <c r="BF275" s="15" t="s">
        <v>254</v>
      </c>
    </row>
    <row r="276" spans="56:61" x14ac:dyDescent="0.2">
      <c r="BE276" s="15" t="s">
        <v>158</v>
      </c>
      <c r="BF276" s="39"/>
    </row>
    <row r="277" spans="56:61" x14ac:dyDescent="0.2">
      <c r="BE277" s="15" t="s">
        <v>282</v>
      </c>
    </row>
    <row r="279" spans="56:61" x14ac:dyDescent="0.2">
      <c r="BD279">
        <v>567</v>
      </c>
      <c r="BE279" s="25" t="s">
        <v>159</v>
      </c>
      <c r="BF279" s="25" t="s">
        <v>174</v>
      </c>
    </row>
    <row r="280" spans="56:61" x14ac:dyDescent="0.2">
      <c r="BE280" s="25" t="s">
        <v>296</v>
      </c>
      <c r="BF280" s="25" t="s">
        <v>294</v>
      </c>
    </row>
    <row r="281" spans="56:61" x14ac:dyDescent="0.2">
      <c r="BE281" s="25" t="s">
        <v>298</v>
      </c>
      <c r="BF281" s="25" t="s">
        <v>299</v>
      </c>
    </row>
    <row r="282" spans="56:61" x14ac:dyDescent="0.2">
      <c r="BE282" s="25" t="s">
        <v>56</v>
      </c>
      <c r="BF282" s="25" t="s">
        <v>254</v>
      </c>
    </row>
    <row r="283" spans="56:61" x14ac:dyDescent="0.2">
      <c r="BE283" s="25" t="s">
        <v>158</v>
      </c>
      <c r="BF283" s="39"/>
    </row>
    <row r="284" spans="56:61" x14ac:dyDescent="0.2">
      <c r="BE284" s="25" t="s">
        <v>282</v>
      </c>
    </row>
  </sheetData>
  <mergeCells count="147">
    <mergeCell ref="CV22:CW22"/>
    <mergeCell ref="CV29:CW29"/>
    <mergeCell ref="CT6:CV6"/>
    <mergeCell ref="CT7:CV7"/>
    <mergeCell ref="CT9:CT11"/>
    <mergeCell ref="CV15:CW15"/>
    <mergeCell ref="BV9:BV11"/>
    <mergeCell ref="BE18:BE20"/>
    <mergeCell ref="BR9:BR11"/>
    <mergeCell ref="CN45:CO45"/>
    <mergeCell ref="CN52:CO52"/>
    <mergeCell ref="CN59:CO59"/>
    <mergeCell ref="CP6:CR6"/>
    <mergeCell ref="CP7:CR7"/>
    <mergeCell ref="CP9:CP11"/>
    <mergeCell ref="CL6:CN6"/>
    <mergeCell ref="CL7:CN7"/>
    <mergeCell ref="CB22:CC22"/>
    <mergeCell ref="CB29:CC29"/>
    <mergeCell ref="BZ6:CB6"/>
    <mergeCell ref="BZ7:CB7"/>
    <mergeCell ref="BZ9:BZ11"/>
    <mergeCell ref="CB15:CC15"/>
    <mergeCell ref="CD6:CF6"/>
    <mergeCell ref="CD7:CF7"/>
    <mergeCell ref="CD9:CD11"/>
    <mergeCell ref="CH6:CJ6"/>
    <mergeCell ref="CH7:CJ7"/>
    <mergeCell ref="CH9:CH11"/>
    <mergeCell ref="CL9:CL20"/>
    <mergeCell ref="AQ58:AR58"/>
    <mergeCell ref="AU21:AV21"/>
    <mergeCell ref="BP14:BQ14"/>
    <mergeCell ref="BP21:BQ21"/>
    <mergeCell ref="BJ18:BJ20"/>
    <mergeCell ref="BJ21:BJ23"/>
    <mergeCell ref="BJ24:BJ26"/>
    <mergeCell ref="BJ27:BJ29"/>
    <mergeCell ref="BP28:BQ28"/>
    <mergeCell ref="BE33:BE35"/>
    <mergeCell ref="BE36:BE38"/>
    <mergeCell ref="BJ15:BJ17"/>
    <mergeCell ref="BE27:BE29"/>
    <mergeCell ref="BE30:BE32"/>
    <mergeCell ref="BJ30:BJ32"/>
    <mergeCell ref="BJ33:BJ35"/>
    <mergeCell ref="BJ12:BJ14"/>
    <mergeCell ref="BE12:BE14"/>
    <mergeCell ref="BE15:BE17"/>
    <mergeCell ref="S51:T51"/>
    <mergeCell ref="S58:T58"/>
    <mergeCell ref="BV6:BX6"/>
    <mergeCell ref="BV7:BX7"/>
    <mergeCell ref="BN9:BN11"/>
    <mergeCell ref="BN6:BP6"/>
    <mergeCell ref="BN7:BP7"/>
    <mergeCell ref="BR6:BT6"/>
    <mergeCell ref="BR7:BT7"/>
    <mergeCell ref="S44:T44"/>
    <mergeCell ref="AG7:AI7"/>
    <mergeCell ref="AG9:AG11"/>
    <mergeCell ref="AK6:AM6"/>
    <mergeCell ref="AK7:AM7"/>
    <mergeCell ref="AK9:AK11"/>
    <mergeCell ref="AO15:AO17"/>
    <mergeCell ref="AO18:AO20"/>
    <mergeCell ref="AS7:AU7"/>
    <mergeCell ref="AS9:AS11"/>
    <mergeCell ref="BJ6:BL6"/>
    <mergeCell ref="BJ7:BL7"/>
    <mergeCell ref="BJ9:BJ11"/>
    <mergeCell ref="AG6:AI6"/>
    <mergeCell ref="AS6:AU6"/>
    <mergeCell ref="BG274:BH274"/>
    <mergeCell ref="AZ177:BD177"/>
    <mergeCell ref="BG225:BH225"/>
    <mergeCell ref="BG204:BH204"/>
    <mergeCell ref="BG190:BH190"/>
    <mergeCell ref="BG183:BH183"/>
    <mergeCell ref="BG266:BH266"/>
    <mergeCell ref="BG260:BH260"/>
    <mergeCell ref="BG253:BH253"/>
    <mergeCell ref="BG246:BH246"/>
    <mergeCell ref="U18:U20"/>
    <mergeCell ref="U9:U11"/>
    <mergeCell ref="U12:U14"/>
    <mergeCell ref="U15:U17"/>
    <mergeCell ref="AO12:AO14"/>
    <mergeCell ref="Q6:S6"/>
    <mergeCell ref="Q7:S7"/>
    <mergeCell ref="Q9:Q11"/>
    <mergeCell ref="Y7:AA7"/>
    <mergeCell ref="Y9:Y11"/>
    <mergeCell ref="Q15:Q17"/>
    <mergeCell ref="Q12:Q14"/>
    <mergeCell ref="Y6:AA6"/>
    <mergeCell ref="U6:W6"/>
    <mergeCell ref="U7:W7"/>
    <mergeCell ref="Q18:Q20"/>
    <mergeCell ref="AO6:AQ6"/>
    <mergeCell ref="AO7:AQ7"/>
    <mergeCell ref="AO9:AO11"/>
    <mergeCell ref="A22:A24"/>
    <mergeCell ref="A6:C6"/>
    <mergeCell ref="E6:G6"/>
    <mergeCell ref="E7:G7"/>
    <mergeCell ref="A9:A11"/>
    <mergeCell ref="E9:E11"/>
    <mergeCell ref="A13:A15"/>
    <mergeCell ref="A16:A18"/>
    <mergeCell ref="A19:A21"/>
    <mergeCell ref="I6:K6"/>
    <mergeCell ref="I7:K7"/>
    <mergeCell ref="I9:I11"/>
    <mergeCell ref="M6:O6"/>
    <mergeCell ref="M7:O7"/>
    <mergeCell ref="M9:M11"/>
    <mergeCell ref="AC6:AE6"/>
    <mergeCell ref="AC7:AE7"/>
    <mergeCell ref="AC9:AC11"/>
    <mergeCell ref="AW6:AY6"/>
    <mergeCell ref="AW7:AY7"/>
    <mergeCell ref="AW9:AW11"/>
    <mergeCell ref="BE7:BG7"/>
    <mergeCell ref="BA6:BC6"/>
    <mergeCell ref="BA7:BC7"/>
    <mergeCell ref="BA9:BA11"/>
    <mergeCell ref="BE6:BG6"/>
    <mergeCell ref="BL169:BM169"/>
    <mergeCell ref="BG169:BH169"/>
    <mergeCell ref="BG162:BH162"/>
    <mergeCell ref="BG141:BH141"/>
    <mergeCell ref="BG64:BH64"/>
    <mergeCell ref="BG92:BH92"/>
    <mergeCell ref="BG99:BH99"/>
    <mergeCell ref="BG113:BH113"/>
    <mergeCell ref="BE9:BE11"/>
    <mergeCell ref="W23:X23"/>
    <mergeCell ref="W30:X30"/>
    <mergeCell ref="W37:X37"/>
    <mergeCell ref="AQ37:AR37"/>
    <mergeCell ref="AQ30:AR30"/>
    <mergeCell ref="BL43:BM43"/>
    <mergeCell ref="BG43:BH43"/>
    <mergeCell ref="BJ36:BJ38"/>
    <mergeCell ref="BE21:BE23"/>
    <mergeCell ref="BE24:BE26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5"/>
  <sheetViews>
    <sheetView topLeftCell="A166" workbookViewId="0">
      <selection activeCell="K189" sqref="K189:L189"/>
    </sheetView>
  </sheetViews>
  <sheetFormatPr defaultRowHeight="12.75" x14ac:dyDescent="0.2"/>
  <cols>
    <col min="8" max="8" width="10" customWidth="1"/>
  </cols>
  <sheetData>
    <row r="2" spans="1:13" x14ac:dyDescent="0.2">
      <c r="A2" s="9"/>
      <c r="B2" s="48">
        <v>6.9564000000000004</v>
      </c>
      <c r="C2" s="15" t="s">
        <v>510</v>
      </c>
      <c r="D2" s="48">
        <v>18.8385</v>
      </c>
      <c r="E2" s="12" t="s">
        <v>356</v>
      </c>
      <c r="F2" s="12" t="s">
        <v>511</v>
      </c>
      <c r="G2" s="12" t="s">
        <v>358</v>
      </c>
      <c r="H2" s="12" t="s">
        <v>512</v>
      </c>
      <c r="I2" s="58">
        <v>54.4</v>
      </c>
      <c r="J2" s="12" t="s">
        <v>513</v>
      </c>
    </row>
    <row r="3" spans="1:13" x14ac:dyDescent="0.2">
      <c r="A3" s="72" t="s">
        <v>0</v>
      </c>
      <c r="B3" s="95">
        <f>40/B2</f>
        <v>5.7501006267609682</v>
      </c>
      <c r="C3" s="95">
        <f t="shared" ref="C3:J3" si="0">40/C2</f>
        <v>3.0935808197989174</v>
      </c>
      <c r="D3" s="95">
        <f t="shared" si="0"/>
        <v>2.1233113039785545</v>
      </c>
      <c r="E3" s="95">
        <f t="shared" si="0"/>
        <v>1.5540679671625437</v>
      </c>
      <c r="F3" s="95">
        <f t="shared" si="0"/>
        <v>1.2374667817510774</v>
      </c>
      <c r="G3" s="95">
        <f t="shared" si="0"/>
        <v>1</v>
      </c>
      <c r="H3" s="95">
        <f t="shared" si="0"/>
        <v>0.88652482269503552</v>
      </c>
      <c r="I3" s="95">
        <f t="shared" si="0"/>
        <v>0.73529411764705888</v>
      </c>
      <c r="J3" s="95">
        <f t="shared" si="0"/>
        <v>0.65189048239895697</v>
      </c>
    </row>
    <row r="4" spans="1:13" x14ac:dyDescent="0.2">
      <c r="A4" s="72" t="s">
        <v>1</v>
      </c>
      <c r="B4" s="73"/>
      <c r="C4" s="43">
        <f t="shared" ref="C4:J4" si="1">B3/C3</f>
        <v>1.8587200276004829</v>
      </c>
      <c r="D4" s="73">
        <f t="shared" si="1"/>
        <v>1.4569605568445476</v>
      </c>
      <c r="E4" s="22">
        <f t="shared" si="1"/>
        <v>1.3662924330493404</v>
      </c>
      <c r="F4" s="22">
        <f t="shared" si="1"/>
        <v>1.2558462094339695</v>
      </c>
      <c r="G4" s="22">
        <f t="shared" si="1"/>
        <v>1.2374667817510774</v>
      </c>
      <c r="H4" s="22">
        <f t="shared" si="1"/>
        <v>1.1279999999999999</v>
      </c>
      <c r="I4" s="22">
        <f t="shared" si="1"/>
        <v>1.2056737588652482</v>
      </c>
      <c r="J4" s="22">
        <f t="shared" si="1"/>
        <v>1.1279411764705882</v>
      </c>
      <c r="L4" t="s">
        <v>540</v>
      </c>
      <c r="M4" s="89">
        <f>B3/J3</f>
        <v>8.8206543614513251</v>
      </c>
    </row>
    <row r="5" spans="1:13" x14ac:dyDescent="0.2">
      <c r="A5" s="9"/>
      <c r="B5" s="50">
        <f>100/B3</f>
        <v>17.391000000000002</v>
      </c>
      <c r="C5" s="8">
        <f t="shared" ref="C5:J5" si="2">100/C3</f>
        <v>32.324999999999996</v>
      </c>
      <c r="D5" s="50">
        <f t="shared" si="2"/>
        <v>47.096249999999998</v>
      </c>
      <c r="E5" s="7">
        <f t="shared" si="2"/>
        <v>64.347250000000003</v>
      </c>
      <c r="F5" s="7">
        <f t="shared" si="2"/>
        <v>80.810249999999996</v>
      </c>
      <c r="G5" s="7">
        <f t="shared" si="2"/>
        <v>100</v>
      </c>
      <c r="H5" s="7">
        <f t="shared" si="2"/>
        <v>112.8</v>
      </c>
      <c r="I5" s="7">
        <f t="shared" si="2"/>
        <v>136</v>
      </c>
      <c r="J5" s="7">
        <f t="shared" si="2"/>
        <v>153.4</v>
      </c>
    </row>
    <row r="6" spans="1:13" x14ac:dyDescent="0.2">
      <c r="B6" s="51">
        <f>1/B3</f>
        <v>0.17391000000000001</v>
      </c>
      <c r="C6" s="51">
        <f t="shared" ref="C6:J6" si="3">1/C3</f>
        <v>0.32324999999999998</v>
      </c>
      <c r="D6" s="51">
        <f t="shared" si="3"/>
        <v>0.47096250000000001</v>
      </c>
      <c r="E6" s="51">
        <f t="shared" si="3"/>
        <v>0.64347250000000011</v>
      </c>
      <c r="F6" s="51">
        <f t="shared" si="3"/>
        <v>0.80810249999999995</v>
      </c>
      <c r="G6" s="51">
        <f t="shared" si="3"/>
        <v>1</v>
      </c>
      <c r="H6" s="51">
        <f t="shared" si="3"/>
        <v>1.1279999999999999</v>
      </c>
      <c r="I6" s="51">
        <f t="shared" si="3"/>
        <v>1.3599999999999999</v>
      </c>
      <c r="J6" s="51">
        <f t="shared" si="3"/>
        <v>1.534</v>
      </c>
    </row>
    <row r="7" spans="1:13" x14ac:dyDescent="0.2">
      <c r="A7" s="188" t="s">
        <v>60</v>
      </c>
      <c r="B7" s="188"/>
      <c r="C7" s="188"/>
      <c r="D7" s="52"/>
      <c r="E7" s="189" t="s">
        <v>97</v>
      </c>
      <c r="F7" s="189"/>
      <c r="G7" s="189"/>
      <c r="I7" s="189" t="s">
        <v>98</v>
      </c>
      <c r="J7" s="189"/>
      <c r="K7" s="189"/>
    </row>
    <row r="8" spans="1:13" x14ac:dyDescent="0.2">
      <c r="B8" s="51"/>
      <c r="C8" s="2"/>
      <c r="D8" s="52"/>
      <c r="E8" s="185" t="s">
        <v>518</v>
      </c>
      <c r="F8" s="185"/>
      <c r="G8" s="185"/>
      <c r="I8" s="185" t="s">
        <v>521</v>
      </c>
      <c r="J8" s="185"/>
      <c r="K8" s="185"/>
    </row>
    <row r="9" spans="1:13" x14ac:dyDescent="0.2">
      <c r="A9" s="7" t="s">
        <v>2</v>
      </c>
      <c r="B9" s="8" t="s">
        <v>3</v>
      </c>
      <c r="C9" s="20" t="s">
        <v>0</v>
      </c>
      <c r="D9" s="52"/>
      <c r="E9" s="7" t="s">
        <v>2</v>
      </c>
      <c r="F9" s="7" t="s">
        <v>3</v>
      </c>
      <c r="G9" s="21" t="s">
        <v>0</v>
      </c>
      <c r="I9" s="7" t="s">
        <v>2</v>
      </c>
      <c r="J9" s="7" t="s">
        <v>3</v>
      </c>
      <c r="K9" s="21" t="s">
        <v>0</v>
      </c>
    </row>
    <row r="10" spans="1:13" x14ac:dyDescent="0.2">
      <c r="A10" s="187" t="s">
        <v>10</v>
      </c>
      <c r="B10" s="18" t="s">
        <v>10</v>
      </c>
      <c r="C10" s="18" t="s">
        <v>488</v>
      </c>
      <c r="D10" s="53"/>
      <c r="E10" s="187" t="s">
        <v>519</v>
      </c>
      <c r="F10" s="29" t="s">
        <v>244</v>
      </c>
      <c r="G10" s="29" t="s">
        <v>520</v>
      </c>
      <c r="H10" s="39">
        <v>1</v>
      </c>
      <c r="I10" s="187" t="s">
        <v>475</v>
      </c>
      <c r="J10" s="18" t="s">
        <v>489</v>
      </c>
      <c r="K10" s="18" t="s">
        <v>514</v>
      </c>
    </row>
    <row r="11" spans="1:13" x14ac:dyDescent="0.2">
      <c r="A11" s="187"/>
      <c r="B11" s="5"/>
      <c r="C11" s="5"/>
      <c r="D11" s="53"/>
      <c r="E11" s="187"/>
      <c r="F11" s="4"/>
      <c r="G11" s="4"/>
      <c r="H11" s="39"/>
      <c r="I11" s="187"/>
      <c r="J11" s="4"/>
      <c r="K11" s="4"/>
    </row>
    <row r="12" spans="1:13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86"/>
    </row>
    <row r="13" spans="1:13" x14ac:dyDescent="0.2">
      <c r="A13" s="187" t="s">
        <v>475</v>
      </c>
      <c r="B13" s="18" t="s">
        <v>489</v>
      </c>
      <c r="C13" s="18" t="s">
        <v>514</v>
      </c>
      <c r="D13" s="53"/>
      <c r="E13" s="60" t="s">
        <v>41</v>
      </c>
      <c r="F13" s="67">
        <v>489</v>
      </c>
      <c r="I13" s="187" t="s">
        <v>54</v>
      </c>
      <c r="J13" s="26" t="s">
        <v>528</v>
      </c>
      <c r="K13" s="26" t="s">
        <v>492</v>
      </c>
    </row>
    <row r="14" spans="1:13" x14ac:dyDescent="0.2">
      <c r="A14" s="187"/>
      <c r="B14" s="5"/>
      <c r="C14" s="5"/>
      <c r="D14" s="53"/>
      <c r="I14" s="187"/>
      <c r="J14" s="4"/>
      <c r="K14" s="4"/>
    </row>
    <row r="15" spans="1:13" x14ac:dyDescent="0.2">
      <c r="A15" s="187"/>
      <c r="B15" s="5"/>
      <c r="C15" s="5"/>
      <c r="D15" s="53"/>
      <c r="E15" s="25" t="s">
        <v>10</v>
      </c>
      <c r="F15" s="25" t="s">
        <v>488</v>
      </c>
      <c r="I15" s="187"/>
      <c r="J15" s="4"/>
      <c r="K15" s="86"/>
    </row>
    <row r="16" spans="1:13" x14ac:dyDescent="0.2">
      <c r="A16" s="187" t="s">
        <v>367</v>
      </c>
      <c r="B16" s="18" t="s">
        <v>367</v>
      </c>
      <c r="C16" s="18" t="s">
        <v>515</v>
      </c>
      <c r="D16" s="53"/>
      <c r="E16" s="26" t="s">
        <v>244</v>
      </c>
      <c r="F16" s="26" t="s">
        <v>520</v>
      </c>
      <c r="H16">
        <v>2</v>
      </c>
      <c r="I16" s="187" t="s">
        <v>522</v>
      </c>
      <c r="J16" s="18" t="s">
        <v>367</v>
      </c>
      <c r="K16" s="18" t="s">
        <v>515</v>
      </c>
    </row>
    <row r="17" spans="1:11" x14ac:dyDescent="0.2">
      <c r="A17" s="187"/>
      <c r="B17" s="5"/>
      <c r="C17" s="5"/>
      <c r="D17" s="53"/>
      <c r="E17" s="25" t="s">
        <v>489</v>
      </c>
      <c r="F17" s="25" t="s">
        <v>514</v>
      </c>
      <c r="I17" s="187"/>
      <c r="J17" s="4"/>
      <c r="K17" s="4"/>
    </row>
    <row r="18" spans="1:11" x14ac:dyDescent="0.2">
      <c r="A18" s="187"/>
      <c r="B18" s="5"/>
      <c r="C18" s="5"/>
      <c r="D18" s="53"/>
      <c r="E18" s="25" t="s">
        <v>367</v>
      </c>
      <c r="F18" s="25" t="s">
        <v>515</v>
      </c>
      <c r="I18" s="187"/>
      <c r="J18" s="4"/>
      <c r="K18" s="86"/>
    </row>
    <row r="19" spans="1:11" x14ac:dyDescent="0.2">
      <c r="A19" s="187" t="s">
        <v>159</v>
      </c>
      <c r="B19" s="18" t="s">
        <v>516</v>
      </c>
      <c r="C19" s="18" t="s">
        <v>6</v>
      </c>
      <c r="D19" s="53"/>
      <c r="E19" s="87" t="s">
        <v>121</v>
      </c>
      <c r="F19" s="25" t="s">
        <v>373</v>
      </c>
      <c r="H19">
        <v>3</v>
      </c>
      <c r="I19" s="187" t="s">
        <v>44</v>
      </c>
      <c r="J19" s="29" t="s">
        <v>49</v>
      </c>
      <c r="K19" s="29" t="s">
        <v>529</v>
      </c>
    </row>
    <row r="20" spans="1:11" x14ac:dyDescent="0.2">
      <c r="A20" s="187"/>
      <c r="B20" s="5"/>
      <c r="C20" s="5"/>
      <c r="D20" s="53"/>
      <c r="E20" s="87" t="s">
        <v>41</v>
      </c>
      <c r="F20" s="57">
        <v>489</v>
      </c>
      <c r="I20" s="187"/>
      <c r="J20" s="4"/>
      <c r="K20" s="4"/>
    </row>
    <row r="21" spans="1:11" x14ac:dyDescent="0.2">
      <c r="A21" s="187"/>
      <c r="B21" s="5"/>
      <c r="C21" s="5"/>
      <c r="D21" s="53"/>
      <c r="E21" s="39"/>
      <c r="F21" s="39"/>
      <c r="I21" s="187"/>
      <c r="J21" s="4"/>
      <c r="K21" s="86"/>
    </row>
    <row r="22" spans="1:11" x14ac:dyDescent="0.2">
      <c r="A22" s="187" t="s">
        <v>118</v>
      </c>
      <c r="B22" s="25" t="s">
        <v>333</v>
      </c>
      <c r="C22" s="25" t="s">
        <v>517</v>
      </c>
      <c r="D22" s="53"/>
      <c r="E22" s="25" t="s">
        <v>10</v>
      </c>
      <c r="F22" s="25" t="s">
        <v>488</v>
      </c>
      <c r="H22" t="s">
        <v>465</v>
      </c>
      <c r="I22" s="187" t="s">
        <v>523</v>
      </c>
      <c r="J22" s="25" t="s">
        <v>333</v>
      </c>
      <c r="K22" s="25" t="s">
        <v>517</v>
      </c>
    </row>
    <row r="23" spans="1:11" x14ac:dyDescent="0.2">
      <c r="A23" s="187"/>
      <c r="B23" s="5"/>
      <c r="C23" s="5"/>
      <c r="D23" s="53"/>
      <c r="E23" s="26" t="s">
        <v>244</v>
      </c>
      <c r="F23" s="26" t="s">
        <v>520</v>
      </c>
      <c r="I23" s="187"/>
      <c r="J23" s="4"/>
      <c r="K23" s="4"/>
    </row>
    <row r="24" spans="1:11" x14ac:dyDescent="0.2">
      <c r="A24" s="187"/>
      <c r="B24" s="5"/>
      <c r="C24" s="5"/>
      <c r="D24" s="53"/>
      <c r="E24" s="25" t="s">
        <v>489</v>
      </c>
      <c r="F24" s="25" t="s">
        <v>514</v>
      </c>
      <c r="I24" s="187"/>
      <c r="J24" s="4"/>
      <c r="K24" s="86"/>
    </row>
    <row r="25" spans="1:11" x14ac:dyDescent="0.2">
      <c r="A25" s="60" t="s">
        <v>121</v>
      </c>
      <c r="B25" s="5" t="s">
        <v>373</v>
      </c>
      <c r="C25" s="46"/>
      <c r="D25" s="53"/>
      <c r="E25" s="25" t="s">
        <v>516</v>
      </c>
      <c r="F25" s="25" t="s">
        <v>6</v>
      </c>
      <c r="H25">
        <v>4</v>
      </c>
      <c r="I25" s="187" t="s">
        <v>524</v>
      </c>
      <c r="J25" s="29" t="s">
        <v>382</v>
      </c>
      <c r="K25" s="29" t="s">
        <v>530</v>
      </c>
    </row>
    <row r="26" spans="1:11" x14ac:dyDescent="0.2">
      <c r="A26" s="44"/>
      <c r="B26" s="46"/>
      <c r="C26" s="46"/>
      <c r="D26" s="53"/>
      <c r="E26" s="87" t="s">
        <v>121</v>
      </c>
      <c r="F26" s="25" t="s">
        <v>373</v>
      </c>
      <c r="I26" s="187"/>
      <c r="J26" s="4"/>
      <c r="K26" s="4"/>
    </row>
    <row r="27" spans="1:11" x14ac:dyDescent="0.2">
      <c r="A27" s="44"/>
      <c r="B27" s="46"/>
      <c r="C27" s="46"/>
      <c r="D27" s="53"/>
      <c r="E27" s="87" t="s">
        <v>41</v>
      </c>
      <c r="F27" s="57">
        <v>489</v>
      </c>
      <c r="I27" s="187"/>
      <c r="J27" s="4"/>
      <c r="K27" s="86"/>
    </row>
    <row r="28" spans="1:11" x14ac:dyDescent="0.2">
      <c r="A28" s="44"/>
      <c r="B28" s="46"/>
      <c r="C28" s="46"/>
      <c r="D28" s="53"/>
      <c r="E28" s="39"/>
      <c r="F28" s="39"/>
      <c r="I28" s="187" t="s">
        <v>120</v>
      </c>
      <c r="J28" s="26" t="s">
        <v>138</v>
      </c>
      <c r="K28" s="26" t="s">
        <v>460</v>
      </c>
    </row>
    <row r="29" spans="1:11" x14ac:dyDescent="0.2">
      <c r="A29" s="44"/>
      <c r="B29" s="46"/>
      <c r="C29" s="46"/>
      <c r="D29" s="53"/>
      <c r="E29" s="25" t="s">
        <v>10</v>
      </c>
      <c r="F29" s="25" t="s">
        <v>488</v>
      </c>
      <c r="I29" s="187"/>
      <c r="J29" s="4"/>
      <c r="K29" s="4"/>
    </row>
    <row r="30" spans="1:11" x14ac:dyDescent="0.2">
      <c r="A30" s="44"/>
      <c r="B30" s="46"/>
      <c r="C30" s="46"/>
      <c r="D30" s="53"/>
      <c r="E30" s="26" t="s">
        <v>244</v>
      </c>
      <c r="F30" s="26" t="s">
        <v>520</v>
      </c>
      <c r="I30" s="187"/>
      <c r="J30" s="4"/>
      <c r="K30" s="86"/>
    </row>
    <row r="31" spans="1:11" x14ac:dyDescent="0.2">
      <c r="A31" s="44"/>
      <c r="B31" s="46"/>
      <c r="C31" s="46"/>
      <c r="D31" s="53"/>
      <c r="E31" s="25" t="s">
        <v>367</v>
      </c>
      <c r="F31" s="25" t="s">
        <v>515</v>
      </c>
      <c r="H31">
        <v>5</v>
      </c>
      <c r="I31" s="187" t="s">
        <v>525</v>
      </c>
      <c r="J31" s="18" t="s">
        <v>516</v>
      </c>
      <c r="K31" s="18" t="s">
        <v>6</v>
      </c>
    </row>
    <row r="32" spans="1:11" x14ac:dyDescent="0.2">
      <c r="A32" s="44"/>
      <c r="B32" s="46"/>
      <c r="C32" s="46"/>
      <c r="D32" s="53"/>
      <c r="E32" s="25" t="s">
        <v>516</v>
      </c>
      <c r="F32" s="25" t="s">
        <v>6</v>
      </c>
      <c r="I32" s="187"/>
      <c r="J32" s="4"/>
      <c r="K32" s="4"/>
    </row>
    <row r="33" spans="1:11" x14ac:dyDescent="0.2">
      <c r="A33" s="44"/>
      <c r="B33" s="46"/>
      <c r="C33" s="46"/>
      <c r="D33" s="53"/>
      <c r="E33" s="87" t="s">
        <v>121</v>
      </c>
      <c r="F33" s="25" t="s">
        <v>373</v>
      </c>
      <c r="I33" s="187"/>
      <c r="J33" s="4"/>
      <c r="K33" s="86"/>
    </row>
    <row r="34" spans="1:11" x14ac:dyDescent="0.2">
      <c r="A34" s="44"/>
      <c r="B34" s="54"/>
      <c r="C34" s="46"/>
      <c r="D34" s="53"/>
      <c r="E34" s="87" t="s">
        <v>41</v>
      </c>
      <c r="F34" s="57">
        <v>489</v>
      </c>
      <c r="H34">
        <v>6</v>
      </c>
      <c r="I34" s="187" t="s">
        <v>526</v>
      </c>
      <c r="J34" s="29" t="s">
        <v>39</v>
      </c>
      <c r="K34" s="29" t="s">
        <v>531</v>
      </c>
    </row>
    <row r="35" spans="1:11" x14ac:dyDescent="0.2">
      <c r="I35" s="187"/>
      <c r="J35" s="4"/>
      <c r="K35" s="4"/>
    </row>
    <row r="36" spans="1:11" x14ac:dyDescent="0.2">
      <c r="I36" s="187"/>
      <c r="J36" s="4"/>
      <c r="K36" s="86"/>
    </row>
    <row r="37" spans="1:11" x14ac:dyDescent="0.2">
      <c r="H37">
        <v>7</v>
      </c>
      <c r="I37" s="187" t="s">
        <v>527</v>
      </c>
      <c r="J37" s="29" t="s">
        <v>59</v>
      </c>
      <c r="K37" s="29" t="s">
        <v>532</v>
      </c>
    </row>
    <row r="38" spans="1:11" x14ac:dyDescent="0.2">
      <c r="I38" s="187"/>
      <c r="J38" s="4"/>
      <c r="K38" s="4"/>
    </row>
    <row r="39" spans="1:11" x14ac:dyDescent="0.2">
      <c r="I39" s="187"/>
      <c r="J39" s="4"/>
      <c r="K39" s="4"/>
    </row>
    <row r="40" spans="1:11" x14ac:dyDescent="0.2">
      <c r="I40" s="60" t="s">
        <v>121</v>
      </c>
      <c r="J40" s="248" t="s">
        <v>169</v>
      </c>
      <c r="K40" s="248"/>
    </row>
    <row r="42" spans="1:11" x14ac:dyDescent="0.2">
      <c r="H42">
        <v>123</v>
      </c>
      <c r="I42" s="25" t="s">
        <v>10</v>
      </c>
      <c r="J42" s="25" t="s">
        <v>488</v>
      </c>
    </row>
    <row r="43" spans="1:11" x14ac:dyDescent="0.2">
      <c r="I43" s="25" t="s">
        <v>489</v>
      </c>
      <c r="J43" s="25" t="s">
        <v>514</v>
      </c>
    </row>
    <row r="44" spans="1:11" x14ac:dyDescent="0.2">
      <c r="I44" s="25" t="s">
        <v>367</v>
      </c>
      <c r="J44" s="25" t="s">
        <v>515</v>
      </c>
    </row>
    <row r="45" spans="1:11" x14ac:dyDescent="0.2">
      <c r="I45" s="26" t="s">
        <v>49</v>
      </c>
      <c r="J45" s="26" t="s">
        <v>529</v>
      </c>
    </row>
    <row r="46" spans="1:11" x14ac:dyDescent="0.2">
      <c r="I46" s="87" t="s">
        <v>121</v>
      </c>
      <c r="J46" s="25" t="s">
        <v>373</v>
      </c>
    </row>
    <row r="47" spans="1:11" x14ac:dyDescent="0.2">
      <c r="I47" s="87" t="s">
        <v>121</v>
      </c>
      <c r="J47" s="25" t="s">
        <v>169</v>
      </c>
    </row>
    <row r="48" spans="1:11" x14ac:dyDescent="0.2">
      <c r="I48" s="39"/>
      <c r="J48" s="39"/>
    </row>
    <row r="49" spans="8:12" x14ac:dyDescent="0.2">
      <c r="H49">
        <v>124</v>
      </c>
      <c r="I49" s="15" t="s">
        <v>10</v>
      </c>
      <c r="J49" s="15" t="s">
        <v>488</v>
      </c>
      <c r="K49" s="214" t="s">
        <v>537</v>
      </c>
      <c r="L49" s="215"/>
    </row>
    <row r="50" spans="8:12" x14ac:dyDescent="0.2">
      <c r="I50" s="15" t="s">
        <v>489</v>
      </c>
      <c r="J50" s="15" t="s">
        <v>514</v>
      </c>
    </row>
    <row r="51" spans="8:12" x14ac:dyDescent="0.2">
      <c r="I51" s="15" t="s">
        <v>367</v>
      </c>
      <c r="J51" s="15" t="s">
        <v>515</v>
      </c>
    </row>
    <row r="52" spans="8:12" x14ac:dyDescent="0.2">
      <c r="I52" s="12" t="s">
        <v>382</v>
      </c>
      <c r="J52" s="12" t="s">
        <v>530</v>
      </c>
    </row>
    <row r="53" spans="8:12" x14ac:dyDescent="0.2">
      <c r="I53" s="10" t="s">
        <v>121</v>
      </c>
      <c r="J53" s="15" t="s">
        <v>373</v>
      </c>
    </row>
    <row r="54" spans="8:12" x14ac:dyDescent="0.2">
      <c r="I54" s="10" t="s">
        <v>121</v>
      </c>
      <c r="J54" s="15" t="s">
        <v>169</v>
      </c>
    </row>
    <row r="55" spans="8:12" x14ac:dyDescent="0.2">
      <c r="I55" s="39"/>
      <c r="J55" s="39"/>
    </row>
    <row r="56" spans="8:12" x14ac:dyDescent="0.2">
      <c r="H56">
        <v>125</v>
      </c>
      <c r="I56" s="25" t="s">
        <v>10</v>
      </c>
      <c r="J56" s="25" t="s">
        <v>488</v>
      </c>
      <c r="K56" s="210" t="s">
        <v>533</v>
      </c>
      <c r="L56" s="238"/>
    </row>
    <row r="57" spans="8:12" x14ac:dyDescent="0.2">
      <c r="I57" s="25" t="s">
        <v>489</v>
      </c>
      <c r="J57" s="25" t="s">
        <v>514</v>
      </c>
      <c r="K57" s="210"/>
      <c r="L57" s="238"/>
    </row>
    <row r="58" spans="8:12" x14ac:dyDescent="0.2">
      <c r="I58" s="25" t="s">
        <v>367</v>
      </c>
      <c r="J58" s="25" t="s">
        <v>515</v>
      </c>
      <c r="K58" s="210"/>
      <c r="L58" s="238"/>
    </row>
    <row r="59" spans="8:12" x14ac:dyDescent="0.2">
      <c r="I59" s="25" t="s">
        <v>516</v>
      </c>
      <c r="J59" s="25" t="s">
        <v>6</v>
      </c>
      <c r="K59" s="210"/>
      <c r="L59" s="238"/>
    </row>
    <row r="60" spans="8:12" x14ac:dyDescent="0.2">
      <c r="I60" s="87" t="s">
        <v>121</v>
      </c>
      <c r="J60" s="25" t="s">
        <v>373</v>
      </c>
    </row>
    <row r="61" spans="8:12" x14ac:dyDescent="0.2">
      <c r="I61" s="87" t="s">
        <v>121</v>
      </c>
      <c r="J61" s="25" t="s">
        <v>169</v>
      </c>
    </row>
    <row r="62" spans="8:12" x14ac:dyDescent="0.2">
      <c r="I62" s="39"/>
      <c r="J62" s="39"/>
    </row>
    <row r="63" spans="8:12" x14ac:dyDescent="0.2">
      <c r="H63">
        <v>126</v>
      </c>
      <c r="I63" s="25" t="s">
        <v>10</v>
      </c>
      <c r="J63" s="25" t="s">
        <v>488</v>
      </c>
    </row>
    <row r="64" spans="8:12" x14ac:dyDescent="0.2">
      <c r="I64" s="25" t="s">
        <v>489</v>
      </c>
      <c r="J64" s="25" t="s">
        <v>514</v>
      </c>
    </row>
    <row r="65" spans="8:12" x14ac:dyDescent="0.2">
      <c r="I65" s="25" t="s">
        <v>367</v>
      </c>
      <c r="J65" s="25" t="s">
        <v>515</v>
      </c>
    </row>
    <row r="66" spans="8:12" x14ac:dyDescent="0.2">
      <c r="I66" s="26" t="s">
        <v>39</v>
      </c>
      <c r="J66" s="26" t="s">
        <v>531</v>
      </c>
    </row>
    <row r="67" spans="8:12" x14ac:dyDescent="0.2">
      <c r="I67" s="87" t="s">
        <v>121</v>
      </c>
      <c r="J67" s="25" t="s">
        <v>373</v>
      </c>
    </row>
    <row r="68" spans="8:12" x14ac:dyDescent="0.2">
      <c r="I68" s="87" t="s">
        <v>121</v>
      </c>
      <c r="J68" s="25" t="s">
        <v>169</v>
      </c>
    </row>
    <row r="69" spans="8:12" x14ac:dyDescent="0.2">
      <c r="I69" s="39"/>
      <c r="J69" s="39"/>
    </row>
    <row r="70" spans="8:12" x14ac:dyDescent="0.2">
      <c r="H70">
        <v>127</v>
      </c>
      <c r="I70" s="25" t="s">
        <v>10</v>
      </c>
      <c r="J70" s="25" t="s">
        <v>488</v>
      </c>
    </row>
    <row r="71" spans="8:12" x14ac:dyDescent="0.2">
      <c r="I71" s="25" t="s">
        <v>489</v>
      </c>
      <c r="J71" s="25" t="s">
        <v>514</v>
      </c>
    </row>
    <row r="72" spans="8:12" x14ac:dyDescent="0.2">
      <c r="I72" s="25" t="s">
        <v>367</v>
      </c>
      <c r="J72" s="25" t="s">
        <v>515</v>
      </c>
    </row>
    <row r="73" spans="8:12" x14ac:dyDescent="0.2">
      <c r="I73" s="26" t="s">
        <v>59</v>
      </c>
      <c r="J73" s="26" t="s">
        <v>532</v>
      </c>
    </row>
    <row r="74" spans="8:12" x14ac:dyDescent="0.2">
      <c r="I74" s="87" t="s">
        <v>121</v>
      </c>
      <c r="J74" s="25" t="s">
        <v>373</v>
      </c>
    </row>
    <row r="75" spans="8:12" x14ac:dyDescent="0.2">
      <c r="I75" s="87" t="s">
        <v>121</v>
      </c>
      <c r="J75" s="25" t="s">
        <v>169</v>
      </c>
    </row>
    <row r="76" spans="8:12" x14ac:dyDescent="0.2">
      <c r="I76" s="39"/>
      <c r="J76" s="39"/>
    </row>
    <row r="77" spans="8:12" x14ac:dyDescent="0.2">
      <c r="H77">
        <v>134</v>
      </c>
      <c r="I77" s="15" t="s">
        <v>10</v>
      </c>
      <c r="J77" s="15" t="s">
        <v>488</v>
      </c>
      <c r="K77" s="214" t="s">
        <v>538</v>
      </c>
      <c r="L77" s="215"/>
    </row>
    <row r="78" spans="8:12" x14ac:dyDescent="0.2">
      <c r="I78" s="15" t="s">
        <v>489</v>
      </c>
      <c r="J78" s="15" t="s">
        <v>514</v>
      </c>
    </row>
    <row r="79" spans="8:12" x14ac:dyDescent="0.2">
      <c r="I79" s="12" t="s">
        <v>49</v>
      </c>
      <c r="J79" s="12" t="s">
        <v>529</v>
      </c>
    </row>
    <row r="80" spans="8:12" x14ac:dyDescent="0.2">
      <c r="I80" s="12" t="s">
        <v>382</v>
      </c>
      <c r="J80" s="12" t="s">
        <v>530</v>
      </c>
    </row>
    <row r="81" spans="8:10" x14ac:dyDescent="0.2">
      <c r="I81" s="10" t="s">
        <v>121</v>
      </c>
      <c r="J81" s="15" t="s">
        <v>373</v>
      </c>
    </row>
    <row r="82" spans="8:10" x14ac:dyDescent="0.2">
      <c r="I82" s="10" t="s">
        <v>121</v>
      </c>
      <c r="J82" s="15" t="s">
        <v>169</v>
      </c>
    </row>
    <row r="83" spans="8:10" x14ac:dyDescent="0.2">
      <c r="I83" s="39"/>
      <c r="J83" s="39"/>
    </row>
    <row r="84" spans="8:10" x14ac:dyDescent="0.2">
      <c r="H84">
        <v>135</v>
      </c>
      <c r="I84" s="25" t="s">
        <v>10</v>
      </c>
      <c r="J84" s="25" t="s">
        <v>488</v>
      </c>
    </row>
    <row r="85" spans="8:10" x14ac:dyDescent="0.2">
      <c r="I85" s="25" t="s">
        <v>489</v>
      </c>
      <c r="J85" s="25" t="s">
        <v>514</v>
      </c>
    </row>
    <row r="86" spans="8:10" x14ac:dyDescent="0.2">
      <c r="I86" s="26" t="s">
        <v>49</v>
      </c>
      <c r="J86" s="26" t="s">
        <v>529</v>
      </c>
    </row>
    <row r="87" spans="8:10" x14ac:dyDescent="0.2">
      <c r="I87" s="25" t="s">
        <v>516</v>
      </c>
      <c r="J87" s="25" t="s">
        <v>6</v>
      </c>
    </row>
    <row r="88" spans="8:10" x14ac:dyDescent="0.2">
      <c r="I88" s="87" t="s">
        <v>121</v>
      </c>
      <c r="J88" s="25" t="s">
        <v>373</v>
      </c>
    </row>
    <row r="89" spans="8:10" x14ac:dyDescent="0.2">
      <c r="I89" s="87" t="s">
        <v>121</v>
      </c>
      <c r="J89" s="25" t="s">
        <v>169</v>
      </c>
    </row>
    <row r="90" spans="8:10" x14ac:dyDescent="0.2">
      <c r="I90" s="39"/>
      <c r="J90" s="39"/>
    </row>
    <row r="91" spans="8:10" x14ac:dyDescent="0.2">
      <c r="H91">
        <v>136</v>
      </c>
      <c r="I91" s="25" t="s">
        <v>10</v>
      </c>
      <c r="J91" s="25" t="s">
        <v>488</v>
      </c>
    </row>
    <row r="92" spans="8:10" x14ac:dyDescent="0.2">
      <c r="I92" s="25" t="s">
        <v>489</v>
      </c>
      <c r="J92" s="25" t="s">
        <v>514</v>
      </c>
    </row>
    <row r="93" spans="8:10" x14ac:dyDescent="0.2">
      <c r="I93" s="26" t="s">
        <v>49</v>
      </c>
      <c r="J93" s="26" t="s">
        <v>529</v>
      </c>
    </row>
    <row r="94" spans="8:10" x14ac:dyDescent="0.2">
      <c r="I94" s="26" t="s">
        <v>39</v>
      </c>
      <c r="J94" s="26" t="s">
        <v>531</v>
      </c>
    </row>
    <row r="95" spans="8:10" x14ac:dyDescent="0.2">
      <c r="I95" s="87" t="s">
        <v>121</v>
      </c>
      <c r="J95" s="25" t="s">
        <v>373</v>
      </c>
    </row>
    <row r="96" spans="8:10" x14ac:dyDescent="0.2">
      <c r="I96" s="87" t="s">
        <v>121</v>
      </c>
      <c r="J96" s="25" t="s">
        <v>169</v>
      </c>
    </row>
    <row r="97" spans="8:10" x14ac:dyDescent="0.2">
      <c r="I97" s="39"/>
      <c r="J97" s="39"/>
    </row>
    <row r="98" spans="8:10" x14ac:dyDescent="0.2">
      <c r="H98">
        <v>137</v>
      </c>
      <c r="I98" s="25" t="s">
        <v>10</v>
      </c>
      <c r="J98" s="25" t="s">
        <v>488</v>
      </c>
    </row>
    <row r="99" spans="8:10" x14ac:dyDescent="0.2">
      <c r="I99" s="25" t="s">
        <v>489</v>
      </c>
      <c r="J99" s="25" t="s">
        <v>514</v>
      </c>
    </row>
    <row r="100" spans="8:10" x14ac:dyDescent="0.2">
      <c r="I100" s="26" t="s">
        <v>49</v>
      </c>
      <c r="J100" s="26" t="s">
        <v>529</v>
      </c>
    </row>
    <row r="101" spans="8:10" x14ac:dyDescent="0.2">
      <c r="I101" s="26" t="s">
        <v>59</v>
      </c>
      <c r="J101" s="26" t="s">
        <v>532</v>
      </c>
    </row>
    <row r="102" spans="8:10" x14ac:dyDescent="0.2">
      <c r="I102" s="87" t="s">
        <v>121</v>
      </c>
      <c r="J102" s="25" t="s">
        <v>373</v>
      </c>
    </row>
    <row r="103" spans="8:10" x14ac:dyDescent="0.2">
      <c r="I103" s="87" t="s">
        <v>121</v>
      </c>
      <c r="J103" s="25" t="s">
        <v>169</v>
      </c>
    </row>
    <row r="104" spans="8:10" x14ac:dyDescent="0.2">
      <c r="I104" s="39"/>
      <c r="J104" s="39"/>
    </row>
    <row r="105" spans="8:10" x14ac:dyDescent="0.2">
      <c r="H105">
        <v>145</v>
      </c>
      <c r="I105" s="25" t="s">
        <v>10</v>
      </c>
      <c r="J105" s="25" t="s">
        <v>488</v>
      </c>
    </row>
    <row r="106" spans="8:10" x14ac:dyDescent="0.2">
      <c r="I106" s="25" t="s">
        <v>489</v>
      </c>
      <c r="J106" s="25" t="s">
        <v>514</v>
      </c>
    </row>
    <row r="107" spans="8:10" x14ac:dyDescent="0.2">
      <c r="I107" s="26" t="s">
        <v>382</v>
      </c>
      <c r="J107" s="26" t="s">
        <v>530</v>
      </c>
    </row>
    <row r="108" spans="8:10" x14ac:dyDescent="0.2">
      <c r="I108" s="25" t="s">
        <v>516</v>
      </c>
      <c r="J108" s="25" t="s">
        <v>6</v>
      </c>
    </row>
    <row r="109" spans="8:10" x14ac:dyDescent="0.2">
      <c r="I109" s="87" t="s">
        <v>121</v>
      </c>
      <c r="J109" s="25" t="s">
        <v>373</v>
      </c>
    </row>
    <row r="110" spans="8:10" x14ac:dyDescent="0.2">
      <c r="I110" s="87" t="s">
        <v>121</v>
      </c>
      <c r="J110" s="25" t="s">
        <v>169</v>
      </c>
    </row>
    <row r="111" spans="8:10" x14ac:dyDescent="0.2">
      <c r="I111" s="39"/>
      <c r="J111" s="39"/>
    </row>
    <row r="112" spans="8:10" x14ac:dyDescent="0.2">
      <c r="H112">
        <v>146</v>
      </c>
      <c r="I112" s="25" t="s">
        <v>10</v>
      </c>
      <c r="J112" s="25" t="s">
        <v>488</v>
      </c>
    </row>
    <row r="113" spans="8:10" x14ac:dyDescent="0.2">
      <c r="I113" s="25" t="s">
        <v>489</v>
      </c>
      <c r="J113" s="25" t="s">
        <v>514</v>
      </c>
    </row>
    <row r="114" spans="8:10" x14ac:dyDescent="0.2">
      <c r="I114" s="26" t="s">
        <v>382</v>
      </c>
      <c r="J114" s="26" t="s">
        <v>530</v>
      </c>
    </row>
    <row r="115" spans="8:10" x14ac:dyDescent="0.2">
      <c r="I115" s="26" t="s">
        <v>39</v>
      </c>
      <c r="J115" s="26" t="s">
        <v>531</v>
      </c>
    </row>
    <row r="116" spans="8:10" x14ac:dyDescent="0.2">
      <c r="I116" s="87" t="s">
        <v>121</v>
      </c>
      <c r="J116" s="25" t="s">
        <v>373</v>
      </c>
    </row>
    <row r="117" spans="8:10" x14ac:dyDescent="0.2">
      <c r="I117" s="87" t="s">
        <v>121</v>
      </c>
      <c r="J117" s="25" t="s">
        <v>169</v>
      </c>
    </row>
    <row r="118" spans="8:10" x14ac:dyDescent="0.2">
      <c r="I118" s="39"/>
      <c r="J118" s="39"/>
    </row>
    <row r="119" spans="8:10" x14ac:dyDescent="0.2">
      <c r="H119">
        <v>147</v>
      </c>
      <c r="I119" s="25" t="s">
        <v>10</v>
      </c>
      <c r="J119" s="25" t="s">
        <v>488</v>
      </c>
    </row>
    <row r="120" spans="8:10" x14ac:dyDescent="0.2">
      <c r="I120" s="25" t="s">
        <v>489</v>
      </c>
      <c r="J120" s="25" t="s">
        <v>514</v>
      </c>
    </row>
    <row r="121" spans="8:10" x14ac:dyDescent="0.2">
      <c r="I121" s="26" t="s">
        <v>382</v>
      </c>
      <c r="J121" s="26" t="s">
        <v>530</v>
      </c>
    </row>
    <row r="122" spans="8:10" x14ac:dyDescent="0.2">
      <c r="I122" s="26" t="s">
        <v>59</v>
      </c>
      <c r="J122" s="26" t="s">
        <v>532</v>
      </c>
    </row>
    <row r="123" spans="8:10" x14ac:dyDescent="0.2">
      <c r="I123" s="87" t="s">
        <v>121</v>
      </c>
      <c r="J123" s="25" t="s">
        <v>373</v>
      </c>
    </row>
    <row r="124" spans="8:10" x14ac:dyDescent="0.2">
      <c r="I124" s="87" t="s">
        <v>121</v>
      </c>
      <c r="J124" s="25" t="s">
        <v>169</v>
      </c>
    </row>
    <row r="125" spans="8:10" x14ac:dyDescent="0.2">
      <c r="I125" s="39"/>
      <c r="J125" s="39"/>
    </row>
    <row r="126" spans="8:10" x14ac:dyDescent="0.2">
      <c r="H126">
        <v>156</v>
      </c>
      <c r="I126" s="25" t="s">
        <v>10</v>
      </c>
      <c r="J126" s="25" t="s">
        <v>488</v>
      </c>
    </row>
    <row r="127" spans="8:10" x14ac:dyDescent="0.2">
      <c r="I127" s="25" t="s">
        <v>489</v>
      </c>
      <c r="J127" s="25" t="s">
        <v>514</v>
      </c>
    </row>
    <row r="128" spans="8:10" x14ac:dyDescent="0.2">
      <c r="I128" s="25" t="s">
        <v>516</v>
      </c>
      <c r="J128" s="25" t="s">
        <v>6</v>
      </c>
    </row>
    <row r="129" spans="8:10" x14ac:dyDescent="0.2">
      <c r="I129" s="26" t="s">
        <v>39</v>
      </c>
      <c r="J129" s="26" t="s">
        <v>531</v>
      </c>
    </row>
    <row r="130" spans="8:10" x14ac:dyDescent="0.2">
      <c r="I130" s="87" t="s">
        <v>121</v>
      </c>
      <c r="J130" s="25" t="s">
        <v>373</v>
      </c>
    </row>
    <row r="131" spans="8:10" x14ac:dyDescent="0.2">
      <c r="I131" s="87" t="s">
        <v>121</v>
      </c>
      <c r="J131" s="25" t="s">
        <v>169</v>
      </c>
    </row>
    <row r="132" spans="8:10" x14ac:dyDescent="0.2">
      <c r="I132" s="39"/>
      <c r="J132" s="39"/>
    </row>
    <row r="133" spans="8:10" x14ac:dyDescent="0.2">
      <c r="H133">
        <v>157</v>
      </c>
      <c r="I133" s="25" t="s">
        <v>10</v>
      </c>
      <c r="J133" s="25" t="s">
        <v>488</v>
      </c>
    </row>
    <row r="134" spans="8:10" x14ac:dyDescent="0.2">
      <c r="I134" s="25" t="s">
        <v>489</v>
      </c>
      <c r="J134" s="25" t="s">
        <v>514</v>
      </c>
    </row>
    <row r="135" spans="8:10" x14ac:dyDescent="0.2">
      <c r="I135" s="25" t="s">
        <v>516</v>
      </c>
      <c r="J135" s="25" t="s">
        <v>6</v>
      </c>
    </row>
    <row r="136" spans="8:10" x14ac:dyDescent="0.2">
      <c r="I136" s="26" t="s">
        <v>59</v>
      </c>
      <c r="J136" s="26" t="s">
        <v>532</v>
      </c>
    </row>
    <row r="137" spans="8:10" x14ac:dyDescent="0.2">
      <c r="I137" s="87" t="s">
        <v>121</v>
      </c>
      <c r="J137" s="25" t="s">
        <v>373</v>
      </c>
    </row>
    <row r="138" spans="8:10" x14ac:dyDescent="0.2">
      <c r="I138" s="87" t="s">
        <v>121</v>
      </c>
      <c r="J138" s="25" t="s">
        <v>169</v>
      </c>
    </row>
    <row r="139" spans="8:10" x14ac:dyDescent="0.2">
      <c r="I139" s="39"/>
      <c r="J139" s="39"/>
    </row>
    <row r="140" spans="8:10" x14ac:dyDescent="0.2">
      <c r="H140">
        <v>167</v>
      </c>
      <c r="I140" s="25" t="s">
        <v>10</v>
      </c>
      <c r="J140" s="25" t="s">
        <v>488</v>
      </c>
    </row>
    <row r="141" spans="8:10" x14ac:dyDescent="0.2">
      <c r="I141" s="25" t="s">
        <v>489</v>
      </c>
      <c r="J141" s="25" t="s">
        <v>514</v>
      </c>
    </row>
    <row r="142" spans="8:10" x14ac:dyDescent="0.2">
      <c r="I142" s="26" t="s">
        <v>39</v>
      </c>
      <c r="J142" s="26" t="s">
        <v>531</v>
      </c>
    </row>
    <row r="143" spans="8:10" x14ac:dyDescent="0.2">
      <c r="I143" s="26" t="s">
        <v>59</v>
      </c>
      <c r="J143" s="26" t="s">
        <v>532</v>
      </c>
    </row>
    <row r="144" spans="8:10" x14ac:dyDescent="0.2">
      <c r="I144" s="87" t="s">
        <v>121</v>
      </c>
      <c r="J144" s="25" t="s">
        <v>373</v>
      </c>
    </row>
    <row r="145" spans="8:10" x14ac:dyDescent="0.2">
      <c r="I145" s="87" t="s">
        <v>121</v>
      </c>
      <c r="J145" s="25" t="s">
        <v>169</v>
      </c>
    </row>
    <row r="146" spans="8:10" x14ac:dyDescent="0.2">
      <c r="I146" s="39"/>
      <c r="J146" s="39"/>
    </row>
    <row r="147" spans="8:10" x14ac:dyDescent="0.2">
      <c r="H147">
        <v>234</v>
      </c>
      <c r="I147" s="25" t="s">
        <v>10</v>
      </c>
      <c r="J147" s="25" t="s">
        <v>488</v>
      </c>
    </row>
    <row r="148" spans="8:10" x14ac:dyDescent="0.2">
      <c r="I148" s="25" t="s">
        <v>367</v>
      </c>
      <c r="J148" s="25" t="s">
        <v>515</v>
      </c>
    </row>
    <row r="149" spans="8:10" x14ac:dyDescent="0.2">
      <c r="I149" s="26" t="s">
        <v>49</v>
      </c>
      <c r="J149" s="26" t="s">
        <v>529</v>
      </c>
    </row>
    <row r="150" spans="8:10" x14ac:dyDescent="0.2">
      <c r="I150" s="26" t="s">
        <v>382</v>
      </c>
      <c r="J150" s="26" t="s">
        <v>530</v>
      </c>
    </row>
    <row r="151" spans="8:10" x14ac:dyDescent="0.2">
      <c r="I151" s="87" t="s">
        <v>121</v>
      </c>
      <c r="J151" s="25" t="s">
        <v>373</v>
      </c>
    </row>
    <row r="152" spans="8:10" x14ac:dyDescent="0.2">
      <c r="I152" s="87" t="s">
        <v>121</v>
      </c>
      <c r="J152" s="25" t="s">
        <v>169</v>
      </c>
    </row>
    <row r="153" spans="8:10" x14ac:dyDescent="0.2">
      <c r="I153" s="39"/>
      <c r="J153" s="39"/>
    </row>
    <row r="154" spans="8:10" x14ac:dyDescent="0.2">
      <c r="H154">
        <v>235</v>
      </c>
      <c r="I154" s="25" t="s">
        <v>10</v>
      </c>
      <c r="J154" s="25" t="s">
        <v>488</v>
      </c>
    </row>
    <row r="155" spans="8:10" x14ac:dyDescent="0.2">
      <c r="I155" s="25" t="s">
        <v>367</v>
      </c>
      <c r="J155" s="25" t="s">
        <v>515</v>
      </c>
    </row>
    <row r="156" spans="8:10" x14ac:dyDescent="0.2">
      <c r="I156" s="26" t="s">
        <v>49</v>
      </c>
      <c r="J156" s="26" t="s">
        <v>529</v>
      </c>
    </row>
    <row r="157" spans="8:10" x14ac:dyDescent="0.2">
      <c r="I157" s="25" t="s">
        <v>516</v>
      </c>
      <c r="J157" s="25" t="s">
        <v>6</v>
      </c>
    </row>
    <row r="158" spans="8:10" x14ac:dyDescent="0.2">
      <c r="I158" s="87" t="s">
        <v>121</v>
      </c>
      <c r="J158" s="25" t="s">
        <v>373</v>
      </c>
    </row>
    <row r="159" spans="8:10" x14ac:dyDescent="0.2">
      <c r="I159" s="87" t="s">
        <v>121</v>
      </c>
      <c r="J159" s="25" t="s">
        <v>169</v>
      </c>
    </row>
    <row r="160" spans="8:10" x14ac:dyDescent="0.2">
      <c r="I160" s="39"/>
      <c r="J160" s="39"/>
    </row>
    <row r="161" spans="8:10" x14ac:dyDescent="0.2">
      <c r="H161">
        <v>236</v>
      </c>
      <c r="I161" s="25" t="s">
        <v>10</v>
      </c>
      <c r="J161" s="25" t="s">
        <v>488</v>
      </c>
    </row>
    <row r="162" spans="8:10" x14ac:dyDescent="0.2">
      <c r="I162" s="25" t="s">
        <v>367</v>
      </c>
      <c r="J162" s="25" t="s">
        <v>515</v>
      </c>
    </row>
    <row r="163" spans="8:10" x14ac:dyDescent="0.2">
      <c r="I163" s="26" t="s">
        <v>49</v>
      </c>
      <c r="J163" s="26" t="s">
        <v>529</v>
      </c>
    </row>
    <row r="164" spans="8:10" x14ac:dyDescent="0.2">
      <c r="I164" s="26" t="s">
        <v>39</v>
      </c>
      <c r="J164" s="26" t="s">
        <v>531</v>
      </c>
    </row>
    <row r="165" spans="8:10" x14ac:dyDescent="0.2">
      <c r="I165" s="87" t="s">
        <v>121</v>
      </c>
      <c r="J165" s="25" t="s">
        <v>373</v>
      </c>
    </row>
    <row r="166" spans="8:10" x14ac:dyDescent="0.2">
      <c r="I166" s="87" t="s">
        <v>121</v>
      </c>
      <c r="J166" s="25" t="s">
        <v>169</v>
      </c>
    </row>
    <row r="167" spans="8:10" x14ac:dyDescent="0.2">
      <c r="I167" s="39"/>
      <c r="J167" s="39"/>
    </row>
    <row r="168" spans="8:10" x14ac:dyDescent="0.2">
      <c r="H168">
        <v>237</v>
      </c>
      <c r="I168" s="25" t="s">
        <v>10</v>
      </c>
      <c r="J168" s="25" t="s">
        <v>488</v>
      </c>
    </row>
    <row r="169" spans="8:10" x14ac:dyDescent="0.2">
      <c r="I169" s="25" t="s">
        <v>367</v>
      </c>
      <c r="J169" s="25" t="s">
        <v>515</v>
      </c>
    </row>
    <row r="170" spans="8:10" x14ac:dyDescent="0.2">
      <c r="I170" s="26" t="s">
        <v>49</v>
      </c>
      <c r="J170" s="26" t="s">
        <v>529</v>
      </c>
    </row>
    <row r="171" spans="8:10" x14ac:dyDescent="0.2">
      <c r="I171" s="26" t="s">
        <v>59</v>
      </c>
      <c r="J171" s="26" t="s">
        <v>532</v>
      </c>
    </row>
    <row r="172" spans="8:10" x14ac:dyDescent="0.2">
      <c r="I172" s="87" t="s">
        <v>121</v>
      </c>
      <c r="J172" s="25" t="s">
        <v>373</v>
      </c>
    </row>
    <row r="173" spans="8:10" x14ac:dyDescent="0.2">
      <c r="I173" s="87" t="s">
        <v>121</v>
      </c>
      <c r="J173" s="25" t="s">
        <v>169</v>
      </c>
    </row>
    <row r="174" spans="8:10" x14ac:dyDescent="0.2">
      <c r="I174" s="39"/>
      <c r="J174" s="39"/>
    </row>
    <row r="175" spans="8:10" x14ac:dyDescent="0.2">
      <c r="H175">
        <v>245</v>
      </c>
      <c r="I175" s="25" t="s">
        <v>10</v>
      </c>
      <c r="J175" s="25" t="s">
        <v>488</v>
      </c>
    </row>
    <row r="176" spans="8:10" x14ac:dyDescent="0.2">
      <c r="I176" s="25" t="s">
        <v>367</v>
      </c>
      <c r="J176" s="25" t="s">
        <v>515</v>
      </c>
    </row>
    <row r="177" spans="8:12" x14ac:dyDescent="0.2">
      <c r="I177" s="26" t="s">
        <v>382</v>
      </c>
      <c r="J177" s="26" t="s">
        <v>530</v>
      </c>
    </row>
    <row r="178" spans="8:12" x14ac:dyDescent="0.2">
      <c r="I178" s="25" t="s">
        <v>516</v>
      </c>
      <c r="J178" s="25" t="s">
        <v>6</v>
      </c>
    </row>
    <row r="179" spans="8:12" x14ac:dyDescent="0.2">
      <c r="I179" s="87" t="s">
        <v>121</v>
      </c>
      <c r="J179" s="25" t="s">
        <v>373</v>
      </c>
    </row>
    <row r="180" spans="8:12" x14ac:dyDescent="0.2">
      <c r="I180" s="87" t="s">
        <v>121</v>
      </c>
      <c r="J180" s="25" t="s">
        <v>169</v>
      </c>
    </row>
    <row r="181" spans="8:12" x14ac:dyDescent="0.2">
      <c r="I181" s="39"/>
      <c r="J181" s="39"/>
    </row>
    <row r="182" spans="8:12" x14ac:dyDescent="0.2">
      <c r="H182">
        <v>246</v>
      </c>
      <c r="I182" s="25" t="s">
        <v>10</v>
      </c>
      <c r="J182" s="25" t="s">
        <v>488</v>
      </c>
      <c r="K182" s="210" t="s">
        <v>497</v>
      </c>
      <c r="L182" s="238"/>
    </row>
    <row r="183" spans="8:12" x14ac:dyDescent="0.2">
      <c r="I183" s="25" t="s">
        <v>367</v>
      </c>
      <c r="J183" s="25" t="s">
        <v>515</v>
      </c>
      <c r="K183" s="210"/>
      <c r="L183" s="238"/>
    </row>
    <row r="184" spans="8:12" x14ac:dyDescent="0.2">
      <c r="I184" s="26" t="s">
        <v>382</v>
      </c>
      <c r="J184" s="26" t="s">
        <v>530</v>
      </c>
      <c r="K184" s="210"/>
      <c r="L184" s="238"/>
    </row>
    <row r="185" spans="8:12" x14ac:dyDescent="0.2">
      <c r="I185" s="26" t="s">
        <v>39</v>
      </c>
      <c r="J185" s="26" t="s">
        <v>531</v>
      </c>
      <c r="K185" s="210"/>
      <c r="L185" s="238"/>
    </row>
    <row r="186" spans="8:12" x14ac:dyDescent="0.2">
      <c r="I186" s="87" t="s">
        <v>121</v>
      </c>
      <c r="J186" s="25" t="s">
        <v>373</v>
      </c>
    </row>
    <row r="187" spans="8:12" x14ac:dyDescent="0.2">
      <c r="I187" s="87" t="s">
        <v>121</v>
      </c>
      <c r="J187" s="25" t="s">
        <v>169</v>
      </c>
    </row>
    <row r="188" spans="8:12" x14ac:dyDescent="0.2">
      <c r="I188" s="39"/>
      <c r="J188" s="39"/>
    </row>
    <row r="189" spans="8:12" x14ac:dyDescent="0.2">
      <c r="H189">
        <v>247</v>
      </c>
      <c r="I189" s="15" t="s">
        <v>10</v>
      </c>
      <c r="J189" s="15" t="s">
        <v>488</v>
      </c>
      <c r="K189" s="214" t="s">
        <v>539</v>
      </c>
      <c r="L189" s="215"/>
    </row>
    <row r="190" spans="8:12" x14ac:dyDescent="0.2">
      <c r="I190" s="15" t="s">
        <v>367</v>
      </c>
      <c r="J190" s="15" t="s">
        <v>515</v>
      </c>
    </row>
    <row r="191" spans="8:12" x14ac:dyDescent="0.2">
      <c r="I191" s="12" t="s">
        <v>382</v>
      </c>
      <c r="J191" s="12" t="s">
        <v>530</v>
      </c>
    </row>
    <row r="192" spans="8:12" x14ac:dyDescent="0.2">
      <c r="I192" s="12" t="s">
        <v>59</v>
      </c>
      <c r="J192" s="12" t="s">
        <v>532</v>
      </c>
    </row>
    <row r="193" spans="8:10" x14ac:dyDescent="0.2">
      <c r="I193" s="10" t="s">
        <v>121</v>
      </c>
      <c r="J193" s="15" t="s">
        <v>373</v>
      </c>
    </row>
    <row r="194" spans="8:10" x14ac:dyDescent="0.2">
      <c r="I194" s="10" t="s">
        <v>121</v>
      </c>
      <c r="J194" s="15" t="s">
        <v>169</v>
      </c>
    </row>
    <row r="195" spans="8:10" x14ac:dyDescent="0.2">
      <c r="I195" s="39"/>
      <c r="J195" s="39"/>
    </row>
    <row r="196" spans="8:10" x14ac:dyDescent="0.2">
      <c r="H196">
        <v>256</v>
      </c>
      <c r="I196" s="25" t="s">
        <v>10</v>
      </c>
      <c r="J196" s="25" t="s">
        <v>488</v>
      </c>
    </row>
    <row r="197" spans="8:10" x14ac:dyDescent="0.2">
      <c r="I197" s="25" t="s">
        <v>367</v>
      </c>
      <c r="J197" s="25" t="s">
        <v>515</v>
      </c>
    </row>
    <row r="198" spans="8:10" x14ac:dyDescent="0.2">
      <c r="I198" s="25" t="s">
        <v>516</v>
      </c>
      <c r="J198" s="25" t="s">
        <v>6</v>
      </c>
    </row>
    <row r="199" spans="8:10" x14ac:dyDescent="0.2">
      <c r="I199" s="26" t="s">
        <v>39</v>
      </c>
      <c r="J199" s="26" t="s">
        <v>531</v>
      </c>
    </row>
    <row r="200" spans="8:10" x14ac:dyDescent="0.2">
      <c r="I200" s="87" t="s">
        <v>121</v>
      </c>
      <c r="J200" s="25" t="s">
        <v>373</v>
      </c>
    </row>
    <row r="201" spans="8:10" x14ac:dyDescent="0.2">
      <c r="I201" s="87" t="s">
        <v>121</v>
      </c>
      <c r="J201" s="25" t="s">
        <v>169</v>
      </c>
    </row>
    <row r="202" spans="8:10" x14ac:dyDescent="0.2">
      <c r="I202" s="39"/>
      <c r="J202" s="39"/>
    </row>
    <row r="203" spans="8:10" x14ac:dyDescent="0.2">
      <c r="H203">
        <v>257</v>
      </c>
      <c r="I203" s="25" t="s">
        <v>10</v>
      </c>
      <c r="J203" s="25" t="s">
        <v>488</v>
      </c>
    </row>
    <row r="204" spans="8:10" x14ac:dyDescent="0.2">
      <c r="I204" s="25" t="s">
        <v>367</v>
      </c>
      <c r="J204" s="25" t="s">
        <v>515</v>
      </c>
    </row>
    <row r="205" spans="8:10" x14ac:dyDescent="0.2">
      <c r="I205" s="25" t="s">
        <v>516</v>
      </c>
      <c r="J205" s="25" t="s">
        <v>6</v>
      </c>
    </row>
    <row r="206" spans="8:10" x14ac:dyDescent="0.2">
      <c r="I206" s="26" t="s">
        <v>59</v>
      </c>
      <c r="J206" s="26" t="s">
        <v>532</v>
      </c>
    </row>
    <row r="207" spans="8:10" x14ac:dyDescent="0.2">
      <c r="I207" s="87" t="s">
        <v>121</v>
      </c>
      <c r="J207" s="25" t="s">
        <v>373</v>
      </c>
    </row>
    <row r="208" spans="8:10" x14ac:dyDescent="0.2">
      <c r="I208" s="87" t="s">
        <v>121</v>
      </c>
      <c r="J208" s="25" t="s">
        <v>169</v>
      </c>
    </row>
    <row r="209" spans="8:10" x14ac:dyDescent="0.2">
      <c r="I209" s="39"/>
      <c r="J209" s="39"/>
    </row>
    <row r="210" spans="8:10" x14ac:dyDescent="0.2">
      <c r="H210">
        <v>267</v>
      </c>
      <c r="I210" s="25" t="s">
        <v>10</v>
      </c>
      <c r="J210" s="25" t="s">
        <v>488</v>
      </c>
    </row>
    <row r="211" spans="8:10" x14ac:dyDescent="0.2">
      <c r="I211" s="25" t="s">
        <v>367</v>
      </c>
      <c r="J211" s="25" t="s">
        <v>515</v>
      </c>
    </row>
    <row r="212" spans="8:10" x14ac:dyDescent="0.2">
      <c r="I212" s="26" t="s">
        <v>39</v>
      </c>
      <c r="J212" s="26" t="s">
        <v>531</v>
      </c>
    </row>
    <row r="213" spans="8:10" x14ac:dyDescent="0.2">
      <c r="I213" s="26" t="s">
        <v>59</v>
      </c>
      <c r="J213" s="26" t="s">
        <v>532</v>
      </c>
    </row>
    <row r="214" spans="8:10" x14ac:dyDescent="0.2">
      <c r="I214" s="87" t="s">
        <v>121</v>
      </c>
      <c r="J214" s="25" t="s">
        <v>373</v>
      </c>
    </row>
    <row r="215" spans="8:10" x14ac:dyDescent="0.2">
      <c r="I215" s="87" t="s">
        <v>121</v>
      </c>
      <c r="J215" s="25" t="s">
        <v>169</v>
      </c>
    </row>
    <row r="216" spans="8:10" x14ac:dyDescent="0.2">
      <c r="I216" s="39"/>
      <c r="J216" s="39"/>
    </row>
    <row r="217" spans="8:10" x14ac:dyDescent="0.2">
      <c r="H217">
        <v>345</v>
      </c>
      <c r="I217" s="25" t="s">
        <v>10</v>
      </c>
      <c r="J217" s="25" t="s">
        <v>488</v>
      </c>
    </row>
    <row r="218" spans="8:10" x14ac:dyDescent="0.2">
      <c r="I218" s="26" t="s">
        <v>49</v>
      </c>
      <c r="J218" s="26" t="s">
        <v>529</v>
      </c>
    </row>
    <row r="219" spans="8:10" x14ac:dyDescent="0.2">
      <c r="I219" s="26" t="s">
        <v>382</v>
      </c>
      <c r="J219" s="26" t="s">
        <v>530</v>
      </c>
    </row>
    <row r="220" spans="8:10" x14ac:dyDescent="0.2">
      <c r="I220" s="25" t="s">
        <v>516</v>
      </c>
      <c r="J220" s="25" t="s">
        <v>6</v>
      </c>
    </row>
    <row r="221" spans="8:10" x14ac:dyDescent="0.2">
      <c r="I221" s="87" t="s">
        <v>121</v>
      </c>
      <c r="J221" s="25" t="s">
        <v>373</v>
      </c>
    </row>
    <row r="222" spans="8:10" x14ac:dyDescent="0.2">
      <c r="I222" s="87" t="s">
        <v>121</v>
      </c>
      <c r="J222" s="25" t="s">
        <v>169</v>
      </c>
    </row>
    <row r="223" spans="8:10" x14ac:dyDescent="0.2">
      <c r="I223" s="39"/>
      <c r="J223" s="39"/>
    </row>
    <row r="224" spans="8:10" x14ac:dyDescent="0.2">
      <c r="H224">
        <v>346</v>
      </c>
      <c r="I224" s="25" t="s">
        <v>10</v>
      </c>
      <c r="J224" s="25" t="s">
        <v>488</v>
      </c>
    </row>
    <row r="225" spans="8:12" x14ac:dyDescent="0.2">
      <c r="I225" s="26" t="s">
        <v>49</v>
      </c>
      <c r="J225" s="26" t="s">
        <v>529</v>
      </c>
    </row>
    <row r="226" spans="8:12" x14ac:dyDescent="0.2">
      <c r="I226" s="26" t="s">
        <v>382</v>
      </c>
      <c r="J226" s="26" t="s">
        <v>530</v>
      </c>
    </row>
    <row r="227" spans="8:12" x14ac:dyDescent="0.2">
      <c r="I227" s="26" t="s">
        <v>39</v>
      </c>
      <c r="J227" s="26" t="s">
        <v>531</v>
      </c>
    </row>
    <row r="228" spans="8:12" x14ac:dyDescent="0.2">
      <c r="I228" s="87" t="s">
        <v>121</v>
      </c>
      <c r="J228" s="25" t="s">
        <v>373</v>
      </c>
    </row>
    <row r="229" spans="8:12" x14ac:dyDescent="0.2">
      <c r="I229" s="87" t="s">
        <v>121</v>
      </c>
      <c r="J229" s="25" t="s">
        <v>169</v>
      </c>
    </row>
    <row r="230" spans="8:12" x14ac:dyDescent="0.2">
      <c r="I230" s="39"/>
      <c r="J230" s="39"/>
    </row>
    <row r="231" spans="8:12" x14ac:dyDescent="0.2">
      <c r="H231">
        <v>347</v>
      </c>
      <c r="I231" s="25" t="s">
        <v>10</v>
      </c>
      <c r="J231" s="25" t="s">
        <v>488</v>
      </c>
      <c r="K231" s="210" t="s">
        <v>534</v>
      </c>
      <c r="L231" s="211"/>
    </row>
    <row r="232" spans="8:12" x14ac:dyDescent="0.2">
      <c r="I232" s="26" t="s">
        <v>49</v>
      </c>
      <c r="J232" s="26" t="s">
        <v>529</v>
      </c>
      <c r="K232" s="210"/>
      <c r="L232" s="211"/>
    </row>
    <row r="233" spans="8:12" x14ac:dyDescent="0.2">
      <c r="I233" s="26" t="s">
        <v>382</v>
      </c>
      <c r="J233" s="26" t="s">
        <v>530</v>
      </c>
      <c r="K233" s="210"/>
      <c r="L233" s="211"/>
    </row>
    <row r="234" spans="8:12" x14ac:dyDescent="0.2">
      <c r="I234" s="26" t="s">
        <v>59</v>
      </c>
      <c r="J234" s="26" t="s">
        <v>532</v>
      </c>
      <c r="K234" s="210"/>
      <c r="L234" s="211"/>
    </row>
    <row r="235" spans="8:12" x14ac:dyDescent="0.2">
      <c r="I235" s="87" t="s">
        <v>121</v>
      </c>
      <c r="J235" s="25" t="s">
        <v>373</v>
      </c>
    </row>
    <row r="236" spans="8:12" x14ac:dyDescent="0.2">
      <c r="I236" s="87" t="s">
        <v>121</v>
      </c>
      <c r="J236" s="25" t="s">
        <v>169</v>
      </c>
    </row>
    <row r="237" spans="8:12" x14ac:dyDescent="0.2">
      <c r="I237" s="39"/>
      <c r="J237" s="39"/>
    </row>
    <row r="238" spans="8:12" x14ac:dyDescent="0.2">
      <c r="H238">
        <v>356</v>
      </c>
      <c r="I238" s="25" t="s">
        <v>10</v>
      </c>
      <c r="J238" s="25" t="s">
        <v>488</v>
      </c>
    </row>
    <row r="239" spans="8:12" x14ac:dyDescent="0.2">
      <c r="I239" s="26" t="s">
        <v>49</v>
      </c>
      <c r="J239" s="26" t="s">
        <v>529</v>
      </c>
    </row>
    <row r="240" spans="8:12" x14ac:dyDescent="0.2">
      <c r="I240" s="25" t="s">
        <v>516</v>
      </c>
      <c r="J240" s="25" t="s">
        <v>6</v>
      </c>
    </row>
    <row r="241" spans="8:10" x14ac:dyDescent="0.2">
      <c r="I241" s="26" t="s">
        <v>39</v>
      </c>
      <c r="J241" s="26" t="s">
        <v>531</v>
      </c>
    </row>
    <row r="242" spans="8:10" x14ac:dyDescent="0.2">
      <c r="I242" s="87" t="s">
        <v>121</v>
      </c>
      <c r="J242" s="25" t="s">
        <v>373</v>
      </c>
    </row>
    <row r="243" spans="8:10" x14ac:dyDescent="0.2">
      <c r="I243" s="87" t="s">
        <v>121</v>
      </c>
      <c r="J243" s="25" t="s">
        <v>169</v>
      </c>
    </row>
    <row r="244" spans="8:10" x14ac:dyDescent="0.2">
      <c r="I244" s="39"/>
      <c r="J244" s="39"/>
    </row>
    <row r="245" spans="8:10" x14ac:dyDescent="0.2">
      <c r="H245">
        <v>357</v>
      </c>
      <c r="I245" s="25" t="s">
        <v>10</v>
      </c>
      <c r="J245" s="25" t="s">
        <v>488</v>
      </c>
    </row>
    <row r="246" spans="8:10" x14ac:dyDescent="0.2">
      <c r="I246" s="26" t="s">
        <v>49</v>
      </c>
      <c r="J246" s="26" t="s">
        <v>529</v>
      </c>
    </row>
    <row r="247" spans="8:10" x14ac:dyDescent="0.2">
      <c r="I247" s="25" t="s">
        <v>516</v>
      </c>
      <c r="J247" s="25" t="s">
        <v>6</v>
      </c>
    </row>
    <row r="248" spans="8:10" x14ac:dyDescent="0.2">
      <c r="I248" s="26" t="s">
        <v>59</v>
      </c>
      <c r="J248" s="26" t="s">
        <v>532</v>
      </c>
    </row>
    <row r="249" spans="8:10" x14ac:dyDescent="0.2">
      <c r="I249" s="87" t="s">
        <v>121</v>
      </c>
      <c r="J249" s="25" t="s">
        <v>373</v>
      </c>
    </row>
    <row r="250" spans="8:10" x14ac:dyDescent="0.2">
      <c r="I250" s="87" t="s">
        <v>121</v>
      </c>
      <c r="J250" s="25" t="s">
        <v>169</v>
      </c>
    </row>
    <row r="251" spans="8:10" x14ac:dyDescent="0.2">
      <c r="I251" s="39"/>
      <c r="J251" s="39"/>
    </row>
    <row r="252" spans="8:10" x14ac:dyDescent="0.2">
      <c r="H252">
        <v>367</v>
      </c>
      <c r="I252" s="25" t="s">
        <v>10</v>
      </c>
      <c r="J252" s="25" t="s">
        <v>488</v>
      </c>
    </row>
    <row r="253" spans="8:10" x14ac:dyDescent="0.2">
      <c r="I253" s="26" t="s">
        <v>49</v>
      </c>
      <c r="J253" s="26" t="s">
        <v>529</v>
      </c>
    </row>
    <row r="254" spans="8:10" x14ac:dyDescent="0.2">
      <c r="I254" s="26" t="s">
        <v>39</v>
      </c>
      <c r="J254" s="26" t="s">
        <v>531</v>
      </c>
    </row>
    <row r="255" spans="8:10" x14ac:dyDescent="0.2">
      <c r="I255" s="26" t="s">
        <v>59</v>
      </c>
      <c r="J255" s="26" t="s">
        <v>532</v>
      </c>
    </row>
    <row r="256" spans="8:10" x14ac:dyDescent="0.2">
      <c r="I256" s="87" t="s">
        <v>121</v>
      </c>
      <c r="J256" s="25" t="s">
        <v>373</v>
      </c>
    </row>
    <row r="257" spans="8:10" x14ac:dyDescent="0.2">
      <c r="I257" s="87" t="s">
        <v>121</v>
      </c>
      <c r="J257" s="25" t="s">
        <v>169</v>
      </c>
    </row>
    <row r="258" spans="8:10" x14ac:dyDescent="0.2">
      <c r="I258" s="39"/>
      <c r="J258" s="39"/>
    </row>
    <row r="259" spans="8:10" x14ac:dyDescent="0.2">
      <c r="H259">
        <v>456</v>
      </c>
      <c r="I259" s="25" t="s">
        <v>10</v>
      </c>
      <c r="J259" s="25" t="s">
        <v>488</v>
      </c>
    </row>
    <row r="260" spans="8:10" x14ac:dyDescent="0.2">
      <c r="I260" s="26" t="s">
        <v>382</v>
      </c>
      <c r="J260" s="26" t="s">
        <v>530</v>
      </c>
    </row>
    <row r="261" spans="8:10" x14ac:dyDescent="0.2">
      <c r="I261" s="25" t="s">
        <v>516</v>
      </c>
      <c r="J261" s="25" t="s">
        <v>6</v>
      </c>
    </row>
    <row r="262" spans="8:10" x14ac:dyDescent="0.2">
      <c r="I262" s="26" t="s">
        <v>39</v>
      </c>
      <c r="J262" s="26" t="s">
        <v>531</v>
      </c>
    </row>
    <row r="263" spans="8:10" x14ac:dyDescent="0.2">
      <c r="I263" s="87" t="s">
        <v>121</v>
      </c>
      <c r="J263" s="25" t="s">
        <v>373</v>
      </c>
    </row>
    <row r="264" spans="8:10" x14ac:dyDescent="0.2">
      <c r="I264" s="87" t="s">
        <v>121</v>
      </c>
      <c r="J264" s="25" t="s">
        <v>169</v>
      </c>
    </row>
    <row r="265" spans="8:10" x14ac:dyDescent="0.2">
      <c r="I265" s="39"/>
      <c r="J265" s="39"/>
    </row>
    <row r="266" spans="8:10" x14ac:dyDescent="0.2">
      <c r="H266">
        <v>457</v>
      </c>
      <c r="I266" s="25" t="s">
        <v>10</v>
      </c>
      <c r="J266" s="25" t="s">
        <v>488</v>
      </c>
    </row>
    <row r="267" spans="8:10" x14ac:dyDescent="0.2">
      <c r="I267" s="26" t="s">
        <v>382</v>
      </c>
      <c r="J267" s="26" t="s">
        <v>530</v>
      </c>
    </row>
    <row r="268" spans="8:10" x14ac:dyDescent="0.2">
      <c r="I268" s="25" t="s">
        <v>516</v>
      </c>
      <c r="J268" s="25" t="s">
        <v>6</v>
      </c>
    </row>
    <row r="269" spans="8:10" x14ac:dyDescent="0.2">
      <c r="I269" s="26" t="s">
        <v>59</v>
      </c>
      <c r="J269" s="26" t="s">
        <v>532</v>
      </c>
    </row>
    <row r="270" spans="8:10" x14ac:dyDescent="0.2">
      <c r="I270" s="87" t="s">
        <v>121</v>
      </c>
      <c r="J270" s="25" t="s">
        <v>373</v>
      </c>
    </row>
    <row r="271" spans="8:10" x14ac:dyDescent="0.2">
      <c r="I271" s="87" t="s">
        <v>121</v>
      </c>
      <c r="J271" s="25" t="s">
        <v>169</v>
      </c>
    </row>
    <row r="272" spans="8:10" x14ac:dyDescent="0.2">
      <c r="I272" s="39"/>
      <c r="J272" s="39"/>
    </row>
    <row r="273" spans="8:12" x14ac:dyDescent="0.2">
      <c r="H273">
        <v>467</v>
      </c>
      <c r="I273" s="25" t="s">
        <v>10</v>
      </c>
      <c r="J273" s="25" t="s">
        <v>488</v>
      </c>
    </row>
    <row r="274" spans="8:12" x14ac:dyDescent="0.2">
      <c r="I274" s="26" t="s">
        <v>382</v>
      </c>
      <c r="J274" s="26" t="s">
        <v>530</v>
      </c>
    </row>
    <row r="275" spans="8:12" x14ac:dyDescent="0.2">
      <c r="I275" s="26" t="s">
        <v>39</v>
      </c>
      <c r="J275" s="26" t="s">
        <v>531</v>
      </c>
    </row>
    <row r="276" spans="8:12" x14ac:dyDescent="0.2">
      <c r="I276" s="26" t="s">
        <v>59</v>
      </c>
      <c r="J276" s="26" t="s">
        <v>532</v>
      </c>
    </row>
    <row r="277" spans="8:12" x14ac:dyDescent="0.2">
      <c r="I277" s="87" t="s">
        <v>121</v>
      </c>
      <c r="J277" s="25" t="s">
        <v>373</v>
      </c>
    </row>
    <row r="278" spans="8:12" x14ac:dyDescent="0.2">
      <c r="I278" s="87" t="s">
        <v>121</v>
      </c>
      <c r="J278" s="25" t="s">
        <v>169</v>
      </c>
    </row>
    <row r="279" spans="8:12" x14ac:dyDescent="0.2">
      <c r="I279" s="39"/>
      <c r="J279" s="39"/>
    </row>
    <row r="280" spans="8:12" x14ac:dyDescent="0.2">
      <c r="H280">
        <v>567</v>
      </c>
      <c r="I280" s="25" t="s">
        <v>10</v>
      </c>
      <c r="J280" s="25" t="s">
        <v>488</v>
      </c>
      <c r="K280" s="210" t="s">
        <v>536</v>
      </c>
      <c r="L280" s="238"/>
    </row>
    <row r="281" spans="8:12" x14ac:dyDescent="0.2">
      <c r="I281" s="25" t="s">
        <v>516</v>
      </c>
      <c r="J281" s="25" t="s">
        <v>6</v>
      </c>
      <c r="K281" s="210"/>
      <c r="L281" s="238"/>
    </row>
    <row r="282" spans="8:12" x14ac:dyDescent="0.2">
      <c r="I282" s="26" t="s">
        <v>39</v>
      </c>
      <c r="J282" s="26" t="s">
        <v>531</v>
      </c>
      <c r="K282" s="210"/>
      <c r="L282" s="238"/>
    </row>
    <row r="283" spans="8:12" x14ac:dyDescent="0.2">
      <c r="I283" s="26" t="s">
        <v>59</v>
      </c>
      <c r="J283" s="26" t="s">
        <v>532</v>
      </c>
      <c r="K283" s="210"/>
      <c r="L283" s="238"/>
    </row>
    <row r="284" spans="8:12" x14ac:dyDescent="0.2">
      <c r="I284" s="87" t="s">
        <v>121</v>
      </c>
      <c r="J284" s="25" t="s">
        <v>373</v>
      </c>
    </row>
    <row r="285" spans="8:12" x14ac:dyDescent="0.2">
      <c r="I285" s="87" t="s">
        <v>121</v>
      </c>
      <c r="J285" s="25" t="s">
        <v>169</v>
      </c>
    </row>
  </sheetData>
  <mergeCells count="29">
    <mergeCell ref="K231:L234"/>
    <mergeCell ref="K280:L283"/>
    <mergeCell ref="I37:I39"/>
    <mergeCell ref="J40:K40"/>
    <mergeCell ref="A13:A15"/>
    <mergeCell ref="A16:A18"/>
    <mergeCell ref="A19:A21"/>
    <mergeCell ref="A22:A24"/>
    <mergeCell ref="I13:I15"/>
    <mergeCell ref="K56:L59"/>
    <mergeCell ref="I16:I18"/>
    <mergeCell ref="I19:I21"/>
    <mergeCell ref="I22:I24"/>
    <mergeCell ref="K49:L49"/>
    <mergeCell ref="A7:C7"/>
    <mergeCell ref="E7:G7"/>
    <mergeCell ref="I7:K7"/>
    <mergeCell ref="E8:G8"/>
    <mergeCell ref="I8:K8"/>
    <mergeCell ref="A10:A12"/>
    <mergeCell ref="E10:E12"/>
    <mergeCell ref="I10:I12"/>
    <mergeCell ref="K189:L189"/>
    <mergeCell ref="I25:I27"/>
    <mergeCell ref="I28:I30"/>
    <mergeCell ref="I31:I33"/>
    <mergeCell ref="I34:I36"/>
    <mergeCell ref="K77:L77"/>
    <mergeCell ref="K182:L185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68"/>
  <sheetViews>
    <sheetView topLeftCell="A16" workbookViewId="0">
      <selection activeCell="M35" sqref="M35"/>
    </sheetView>
  </sheetViews>
  <sheetFormatPr defaultRowHeight="12.75" x14ac:dyDescent="0.2"/>
  <sheetData>
    <row r="3" spans="1:13" x14ac:dyDescent="0.2">
      <c r="A3" s="9"/>
      <c r="B3" s="48">
        <v>6.9564000000000004</v>
      </c>
      <c r="C3" s="15" t="s">
        <v>510</v>
      </c>
      <c r="D3" s="48">
        <v>18.8385</v>
      </c>
      <c r="E3" s="12" t="s">
        <v>356</v>
      </c>
      <c r="F3" s="12" t="s">
        <v>511</v>
      </c>
      <c r="G3" s="12" t="s">
        <v>358</v>
      </c>
      <c r="H3" s="12" t="s">
        <v>541</v>
      </c>
      <c r="I3" s="58">
        <v>54.4</v>
      </c>
      <c r="J3" s="12" t="s">
        <v>513</v>
      </c>
    </row>
    <row r="4" spans="1:13" x14ac:dyDescent="0.2">
      <c r="A4" s="72" t="s">
        <v>0</v>
      </c>
      <c r="B4" s="73">
        <f>45.1176/B3</f>
        <v>6.4857685009487671</v>
      </c>
      <c r="C4" s="73">
        <f t="shared" ref="C4:J4" si="0">45.1176/C3</f>
        <v>3.4893735498839908</v>
      </c>
      <c r="D4" s="73">
        <f t="shared" si="0"/>
        <v>2.3949677522095709</v>
      </c>
      <c r="E4" s="73">
        <f t="shared" si="0"/>
        <v>1.7528954228813198</v>
      </c>
      <c r="F4" s="73">
        <f t="shared" si="0"/>
        <v>1.3957882818083103</v>
      </c>
      <c r="G4" s="73">
        <f t="shared" si="0"/>
        <v>1.1279400000000002</v>
      </c>
      <c r="H4" s="43">
        <f>45.1176/H3</f>
        <v>1</v>
      </c>
      <c r="I4" s="73">
        <f t="shared" si="0"/>
        <v>0.8293676470588236</v>
      </c>
      <c r="J4" s="73">
        <f t="shared" si="0"/>
        <v>0.73529335071707957</v>
      </c>
    </row>
    <row r="5" spans="1:13" x14ac:dyDescent="0.2">
      <c r="A5" s="72" t="s">
        <v>1</v>
      </c>
      <c r="B5" s="73"/>
      <c r="C5" s="43">
        <f t="shared" ref="C5:J5" si="1">B4/C4</f>
        <v>1.8587200276004832</v>
      </c>
      <c r="D5" s="73">
        <f t="shared" si="1"/>
        <v>1.4569605568445476</v>
      </c>
      <c r="E5" s="22">
        <f t="shared" si="1"/>
        <v>1.3662924330493404</v>
      </c>
      <c r="F5" s="22">
        <f t="shared" si="1"/>
        <v>1.2558462094339695</v>
      </c>
      <c r="G5" s="22">
        <f t="shared" si="1"/>
        <v>1.2374667817510772</v>
      </c>
      <c r="H5" s="22">
        <f t="shared" si="1"/>
        <v>1.1279400000000002</v>
      </c>
      <c r="I5" s="22">
        <f t="shared" si="1"/>
        <v>1.2057378938596024</v>
      </c>
      <c r="J5" s="22">
        <f t="shared" si="1"/>
        <v>1.1279411764705882</v>
      </c>
      <c r="L5" t="s">
        <v>540</v>
      </c>
      <c r="M5">
        <f>B4/J4</f>
        <v>8.8206543614513251</v>
      </c>
    </row>
    <row r="6" spans="1:13" x14ac:dyDescent="0.2">
      <c r="A6" s="9"/>
      <c r="B6" s="50">
        <f>100/B4</f>
        <v>15.418373317729666</v>
      </c>
      <c r="C6" s="8">
        <f t="shared" ref="C6:J6" si="2">100/C4</f>
        <v>28.658439278685034</v>
      </c>
      <c r="D6" s="50">
        <f t="shared" si="2"/>
        <v>41.754215649768604</v>
      </c>
      <c r="E6" s="7">
        <f t="shared" si="2"/>
        <v>57.048468890189191</v>
      </c>
      <c r="F6" s="7">
        <f t="shared" si="2"/>
        <v>71.644103409755829</v>
      </c>
      <c r="G6" s="7">
        <f t="shared" si="2"/>
        <v>88.657198077911929</v>
      </c>
      <c r="H6" s="7">
        <f t="shared" si="2"/>
        <v>100</v>
      </c>
      <c r="I6" s="7">
        <f t="shared" si="2"/>
        <v>120.57378938596024</v>
      </c>
      <c r="J6" s="7">
        <f t="shared" si="2"/>
        <v>136.00014185151693</v>
      </c>
    </row>
    <row r="7" spans="1:13" x14ac:dyDescent="0.2">
      <c r="B7" s="51">
        <f>1/B4</f>
        <v>0.15418373317729664</v>
      </c>
      <c r="C7" s="51">
        <f t="shared" ref="C7:J7" si="3">1/C4</f>
        <v>0.28658439278685033</v>
      </c>
      <c r="D7" s="51">
        <f t="shared" si="3"/>
        <v>0.41754215649768606</v>
      </c>
      <c r="E7" s="51">
        <f t="shared" si="3"/>
        <v>0.57048468890189186</v>
      </c>
      <c r="F7" s="51">
        <f t="shared" si="3"/>
        <v>0.71644103409755833</v>
      </c>
      <c r="G7" s="51">
        <f t="shared" si="3"/>
        <v>0.88657198077911936</v>
      </c>
      <c r="H7" s="51">
        <f t="shared" si="3"/>
        <v>1</v>
      </c>
      <c r="I7" s="51">
        <f t="shared" si="3"/>
        <v>1.2057378938596024</v>
      </c>
      <c r="J7" s="51">
        <f t="shared" si="3"/>
        <v>1.3600014185151692</v>
      </c>
    </row>
    <row r="8" spans="1:13" ht="12" customHeight="1" x14ac:dyDescent="0.2">
      <c r="A8" s="188" t="s">
        <v>60</v>
      </c>
      <c r="B8" s="188"/>
      <c r="C8" s="188"/>
      <c r="D8" s="52"/>
      <c r="E8" s="189" t="s">
        <v>97</v>
      </c>
      <c r="F8" s="189"/>
      <c r="G8" s="189"/>
      <c r="I8" s="189" t="s">
        <v>98</v>
      </c>
      <c r="J8" s="189"/>
      <c r="K8" s="189"/>
    </row>
    <row r="9" spans="1:13" x14ac:dyDescent="0.2">
      <c r="B9" s="51"/>
      <c r="C9" s="2"/>
      <c r="D9" s="52"/>
      <c r="E9" s="185" t="s">
        <v>544</v>
      </c>
      <c r="F9" s="185"/>
      <c r="G9" s="185"/>
      <c r="I9" s="185" t="s">
        <v>545</v>
      </c>
      <c r="J9" s="185"/>
      <c r="K9" s="185"/>
    </row>
    <row r="10" spans="1:13" x14ac:dyDescent="0.2">
      <c r="A10" s="7" t="s">
        <v>2</v>
      </c>
      <c r="B10" s="8" t="s">
        <v>3</v>
      </c>
      <c r="C10" s="20" t="s">
        <v>0</v>
      </c>
      <c r="D10" s="52"/>
      <c r="E10" s="7" t="s">
        <v>2</v>
      </c>
      <c r="F10" s="7" t="s">
        <v>3</v>
      </c>
      <c r="G10" s="21" t="s">
        <v>0</v>
      </c>
      <c r="I10" s="7" t="s">
        <v>2</v>
      </c>
      <c r="J10" s="7" t="s">
        <v>3</v>
      </c>
      <c r="K10" s="21" t="s">
        <v>0</v>
      </c>
    </row>
    <row r="11" spans="1:13" x14ac:dyDescent="0.2">
      <c r="A11" s="187" t="s">
        <v>10</v>
      </c>
      <c r="B11" s="18" t="s">
        <v>10</v>
      </c>
      <c r="C11" s="18" t="s">
        <v>6</v>
      </c>
      <c r="D11" s="53"/>
      <c r="E11" s="187" t="s">
        <v>519</v>
      </c>
      <c r="F11" s="29" t="s">
        <v>519</v>
      </c>
      <c r="G11" s="29" t="s">
        <v>546</v>
      </c>
      <c r="H11" s="39"/>
      <c r="I11" s="187" t="s">
        <v>110</v>
      </c>
      <c r="J11" s="18" t="s">
        <v>547</v>
      </c>
      <c r="K11" s="18" t="s">
        <v>529</v>
      </c>
    </row>
    <row r="12" spans="1:13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</row>
    <row r="13" spans="1:13" x14ac:dyDescent="0.2">
      <c r="A13" s="187"/>
      <c r="B13" s="5"/>
      <c r="C13" s="5"/>
      <c r="D13" s="53"/>
      <c r="E13" s="187"/>
      <c r="F13" s="4"/>
      <c r="G13" s="4"/>
      <c r="H13" s="39"/>
      <c r="I13" s="187"/>
      <c r="J13" s="4"/>
      <c r="K13" s="4"/>
    </row>
    <row r="14" spans="1:13" x14ac:dyDescent="0.2">
      <c r="A14" s="187" t="s">
        <v>367</v>
      </c>
      <c r="B14" s="18" t="s">
        <v>367</v>
      </c>
      <c r="C14" s="18" t="s">
        <v>542</v>
      </c>
      <c r="D14" s="53"/>
      <c r="E14" s="223">
        <v>459</v>
      </c>
      <c r="F14" s="57">
        <v>549</v>
      </c>
      <c r="G14" s="57">
        <v>-13.44</v>
      </c>
    </row>
    <row r="15" spans="1:13" x14ac:dyDescent="0.2">
      <c r="A15" s="187"/>
      <c r="B15" s="43"/>
      <c r="C15" s="43"/>
      <c r="D15" s="53"/>
      <c r="E15" s="224"/>
      <c r="F15" s="60"/>
      <c r="G15" s="60"/>
      <c r="H15">
        <v>1</v>
      </c>
      <c r="I15" s="187" t="s">
        <v>367</v>
      </c>
      <c r="J15" s="18" t="s">
        <v>367</v>
      </c>
      <c r="K15" s="18" t="s">
        <v>542</v>
      </c>
    </row>
    <row r="16" spans="1:13" x14ac:dyDescent="0.2">
      <c r="A16" s="187"/>
      <c r="B16" s="43"/>
      <c r="C16" s="43"/>
      <c r="D16" s="53"/>
      <c r="E16" s="225"/>
      <c r="F16" s="60"/>
      <c r="G16" s="60"/>
      <c r="I16" s="187"/>
      <c r="J16" s="4"/>
      <c r="K16" s="4"/>
    </row>
    <row r="17" spans="1:12" x14ac:dyDescent="0.2">
      <c r="A17" s="60" t="s">
        <v>41</v>
      </c>
      <c r="B17" s="5" t="s">
        <v>373</v>
      </c>
      <c r="C17" s="46"/>
      <c r="D17" s="53"/>
      <c r="I17" s="187"/>
      <c r="J17" s="4"/>
      <c r="K17" s="4"/>
    </row>
    <row r="18" spans="1:12" x14ac:dyDescent="0.2">
      <c r="A18" s="60" t="s">
        <v>41</v>
      </c>
      <c r="B18" s="5" t="s">
        <v>543</v>
      </c>
      <c r="C18" s="46"/>
      <c r="D18" s="53"/>
      <c r="H18">
        <v>2</v>
      </c>
      <c r="I18" s="187" t="s">
        <v>54</v>
      </c>
      <c r="J18" s="18" t="s">
        <v>54</v>
      </c>
      <c r="K18" s="18" t="s">
        <v>548</v>
      </c>
    </row>
    <row r="19" spans="1:12" x14ac:dyDescent="0.2">
      <c r="A19" s="44"/>
      <c r="B19" s="46"/>
      <c r="C19" s="46"/>
      <c r="D19" s="53"/>
      <c r="I19" s="187"/>
      <c r="J19" s="4"/>
      <c r="K19" s="4"/>
    </row>
    <row r="20" spans="1:12" x14ac:dyDescent="0.2">
      <c r="D20" s="53"/>
      <c r="I20" s="187"/>
      <c r="J20" s="4"/>
      <c r="K20" s="4"/>
    </row>
    <row r="21" spans="1:12" x14ac:dyDescent="0.2">
      <c r="D21" s="53"/>
      <c r="H21">
        <v>3</v>
      </c>
      <c r="I21" s="187" t="s">
        <v>35</v>
      </c>
      <c r="J21" s="29" t="s">
        <v>39</v>
      </c>
      <c r="K21" s="29" t="s">
        <v>549</v>
      </c>
    </row>
    <row r="22" spans="1:12" x14ac:dyDescent="0.2">
      <c r="D22" s="53"/>
      <c r="I22" s="187"/>
      <c r="J22" s="4"/>
      <c r="K22" s="4"/>
    </row>
    <row r="23" spans="1:12" x14ac:dyDescent="0.2">
      <c r="D23" s="53"/>
      <c r="I23" s="187"/>
      <c r="J23" s="4"/>
      <c r="K23" s="4"/>
    </row>
    <row r="24" spans="1:12" x14ac:dyDescent="0.2">
      <c r="D24" s="53"/>
      <c r="H24">
        <v>4</v>
      </c>
      <c r="I24" s="187" t="s">
        <v>72</v>
      </c>
      <c r="J24" s="18" t="s">
        <v>382</v>
      </c>
      <c r="K24" s="18" t="s">
        <v>550</v>
      </c>
    </row>
    <row r="25" spans="1:12" x14ac:dyDescent="0.2">
      <c r="D25" s="53"/>
      <c r="I25" s="187"/>
      <c r="J25" s="4"/>
      <c r="K25" s="4"/>
    </row>
    <row r="26" spans="1:12" x14ac:dyDescent="0.2">
      <c r="D26" s="53"/>
      <c r="I26" s="187"/>
      <c r="J26" s="4"/>
      <c r="K26" s="4"/>
    </row>
    <row r="27" spans="1:12" x14ac:dyDescent="0.2">
      <c r="D27" s="53"/>
    </row>
    <row r="28" spans="1:12" x14ac:dyDescent="0.2">
      <c r="D28" s="53"/>
      <c r="I28" s="15" t="s">
        <v>10</v>
      </c>
      <c r="J28" s="15" t="s">
        <v>6</v>
      </c>
      <c r="K28" s="214" t="s">
        <v>551</v>
      </c>
      <c r="L28" s="215"/>
    </row>
    <row r="29" spans="1:12" x14ac:dyDescent="0.2">
      <c r="I29" s="15" t="s">
        <v>547</v>
      </c>
      <c r="J29" s="15" t="s">
        <v>529</v>
      </c>
    </row>
    <row r="30" spans="1:12" x14ac:dyDescent="0.2">
      <c r="H30">
        <v>12</v>
      </c>
      <c r="I30" s="15" t="s">
        <v>367</v>
      </c>
      <c r="J30" s="15" t="s">
        <v>542</v>
      </c>
    </row>
    <row r="31" spans="1:12" x14ac:dyDescent="0.2">
      <c r="I31" s="15" t="s">
        <v>54</v>
      </c>
      <c r="J31" s="15" t="s">
        <v>548</v>
      </c>
    </row>
    <row r="32" spans="1:12" x14ac:dyDescent="0.2">
      <c r="I32" s="10" t="s">
        <v>41</v>
      </c>
      <c r="J32" s="15" t="s">
        <v>373</v>
      </c>
    </row>
    <row r="33" spans="8:12" x14ac:dyDescent="0.2">
      <c r="I33" s="10" t="s">
        <v>41</v>
      </c>
      <c r="J33" s="15" t="s">
        <v>543</v>
      </c>
    </row>
    <row r="35" spans="8:12" x14ac:dyDescent="0.2">
      <c r="H35">
        <v>13</v>
      </c>
      <c r="I35" s="25" t="s">
        <v>10</v>
      </c>
      <c r="J35" s="25" t="s">
        <v>6</v>
      </c>
      <c r="K35" s="214"/>
      <c r="L35" s="249"/>
    </row>
    <row r="36" spans="8:12" x14ac:dyDescent="0.2">
      <c r="I36" s="25" t="s">
        <v>547</v>
      </c>
      <c r="J36" s="25" t="s">
        <v>529</v>
      </c>
    </row>
    <row r="37" spans="8:12" x14ac:dyDescent="0.2">
      <c r="I37" s="25" t="s">
        <v>367</v>
      </c>
      <c r="J37" s="25" t="s">
        <v>542</v>
      </c>
    </row>
    <row r="38" spans="8:12" x14ac:dyDescent="0.2">
      <c r="I38" s="26" t="s">
        <v>39</v>
      </c>
      <c r="J38" s="26" t="s">
        <v>549</v>
      </c>
    </row>
    <row r="39" spans="8:12" x14ac:dyDescent="0.2">
      <c r="I39" s="87" t="s">
        <v>41</v>
      </c>
      <c r="J39" s="25" t="s">
        <v>373</v>
      </c>
    </row>
    <row r="40" spans="8:12" x14ac:dyDescent="0.2">
      <c r="I40" s="87" t="s">
        <v>41</v>
      </c>
      <c r="J40" s="25" t="s">
        <v>543</v>
      </c>
    </row>
    <row r="42" spans="8:12" x14ac:dyDescent="0.2">
      <c r="H42">
        <v>14</v>
      </c>
      <c r="I42" s="15" t="s">
        <v>10</v>
      </c>
      <c r="J42" s="15" t="s">
        <v>6</v>
      </c>
      <c r="K42" s="214" t="s">
        <v>552</v>
      </c>
      <c r="L42" s="215"/>
    </row>
    <row r="43" spans="8:12" x14ac:dyDescent="0.2">
      <c r="I43" s="15" t="s">
        <v>547</v>
      </c>
      <c r="J43" s="15" t="s">
        <v>529</v>
      </c>
    </row>
    <row r="44" spans="8:12" x14ac:dyDescent="0.2">
      <c r="I44" s="15" t="s">
        <v>367</v>
      </c>
      <c r="J44" s="15" t="s">
        <v>542</v>
      </c>
    </row>
    <row r="45" spans="8:12" x14ac:dyDescent="0.2">
      <c r="I45" s="15" t="s">
        <v>382</v>
      </c>
      <c r="J45" s="15" t="s">
        <v>550</v>
      </c>
    </row>
    <row r="46" spans="8:12" x14ac:dyDescent="0.2">
      <c r="I46" s="10" t="s">
        <v>41</v>
      </c>
      <c r="J46" s="15" t="s">
        <v>373</v>
      </c>
    </row>
    <row r="47" spans="8:12" x14ac:dyDescent="0.2">
      <c r="I47" s="10" t="s">
        <v>41</v>
      </c>
      <c r="J47" s="15" t="s">
        <v>543</v>
      </c>
    </row>
    <row r="49" spans="8:12" x14ac:dyDescent="0.2">
      <c r="H49">
        <v>23</v>
      </c>
      <c r="I49" s="25" t="s">
        <v>10</v>
      </c>
      <c r="J49" s="25" t="s">
        <v>6</v>
      </c>
    </row>
    <row r="50" spans="8:12" x14ac:dyDescent="0.2">
      <c r="I50" s="25" t="s">
        <v>547</v>
      </c>
      <c r="J50" s="25" t="s">
        <v>529</v>
      </c>
    </row>
    <row r="51" spans="8:12" x14ac:dyDescent="0.2">
      <c r="I51" s="25" t="s">
        <v>54</v>
      </c>
      <c r="J51" s="25" t="s">
        <v>548</v>
      </c>
    </row>
    <row r="52" spans="8:12" x14ac:dyDescent="0.2">
      <c r="I52" s="26" t="s">
        <v>39</v>
      </c>
      <c r="J52" s="26" t="s">
        <v>549</v>
      </c>
    </row>
    <row r="53" spans="8:12" x14ac:dyDescent="0.2">
      <c r="I53" s="87" t="s">
        <v>41</v>
      </c>
      <c r="J53" s="25" t="s">
        <v>373</v>
      </c>
    </row>
    <row r="54" spans="8:12" x14ac:dyDescent="0.2">
      <c r="I54" s="87" t="s">
        <v>41</v>
      </c>
      <c r="J54" s="25" t="s">
        <v>543</v>
      </c>
    </row>
    <row r="56" spans="8:12" x14ac:dyDescent="0.2">
      <c r="H56">
        <v>24</v>
      </c>
      <c r="I56" s="15" t="s">
        <v>10</v>
      </c>
      <c r="J56" s="15" t="s">
        <v>6</v>
      </c>
      <c r="K56" s="214" t="s">
        <v>553</v>
      </c>
      <c r="L56" s="215"/>
    </row>
    <row r="57" spans="8:12" x14ac:dyDescent="0.2">
      <c r="I57" s="15" t="s">
        <v>547</v>
      </c>
      <c r="J57" s="15" t="s">
        <v>529</v>
      </c>
    </row>
    <row r="58" spans="8:12" x14ac:dyDescent="0.2">
      <c r="I58" s="15" t="s">
        <v>54</v>
      </c>
      <c r="J58" s="15" t="s">
        <v>548</v>
      </c>
    </row>
    <row r="59" spans="8:12" x14ac:dyDescent="0.2">
      <c r="I59" s="15" t="s">
        <v>382</v>
      </c>
      <c r="J59" s="15" t="s">
        <v>550</v>
      </c>
    </row>
    <row r="60" spans="8:12" x14ac:dyDescent="0.2">
      <c r="I60" s="10" t="s">
        <v>41</v>
      </c>
      <c r="J60" s="15" t="s">
        <v>373</v>
      </c>
    </row>
    <row r="61" spans="8:12" x14ac:dyDescent="0.2">
      <c r="I61" s="10" t="s">
        <v>41</v>
      </c>
      <c r="J61" s="15" t="s">
        <v>543</v>
      </c>
    </row>
    <row r="63" spans="8:12" x14ac:dyDescent="0.2">
      <c r="H63">
        <v>34</v>
      </c>
      <c r="I63" s="25" t="s">
        <v>10</v>
      </c>
      <c r="J63" s="25" t="s">
        <v>6</v>
      </c>
    </row>
    <row r="64" spans="8:12" x14ac:dyDescent="0.2">
      <c r="I64" s="25" t="s">
        <v>547</v>
      </c>
      <c r="J64" s="25" t="s">
        <v>529</v>
      </c>
    </row>
    <row r="65" spans="9:10" x14ac:dyDescent="0.2">
      <c r="I65" s="26" t="s">
        <v>39</v>
      </c>
      <c r="J65" s="26" t="s">
        <v>549</v>
      </c>
    </row>
    <row r="66" spans="9:10" x14ac:dyDescent="0.2">
      <c r="I66" s="25" t="s">
        <v>382</v>
      </c>
      <c r="J66" s="25" t="s">
        <v>550</v>
      </c>
    </row>
    <row r="67" spans="9:10" x14ac:dyDescent="0.2">
      <c r="I67" s="87" t="s">
        <v>41</v>
      </c>
      <c r="J67" s="25" t="s">
        <v>373</v>
      </c>
    </row>
    <row r="68" spans="9:10" x14ac:dyDescent="0.2">
      <c r="I68" s="87" t="s">
        <v>41</v>
      </c>
      <c r="J68" s="25" t="s">
        <v>543</v>
      </c>
    </row>
  </sheetData>
  <mergeCells count="18">
    <mergeCell ref="I18:I20"/>
    <mergeCell ref="A11:A13"/>
    <mergeCell ref="E11:E13"/>
    <mergeCell ref="I11:I13"/>
    <mergeCell ref="A14:A16"/>
    <mergeCell ref="I15:I17"/>
    <mergeCell ref="E14:E16"/>
    <mergeCell ref="A8:C8"/>
    <mergeCell ref="E8:G8"/>
    <mergeCell ref="I8:K8"/>
    <mergeCell ref="E9:G9"/>
    <mergeCell ref="I9:K9"/>
    <mergeCell ref="I21:I23"/>
    <mergeCell ref="K35:L35"/>
    <mergeCell ref="K28:L28"/>
    <mergeCell ref="K42:L42"/>
    <mergeCell ref="K56:L56"/>
    <mergeCell ref="I24:I26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292"/>
  <sheetViews>
    <sheetView workbookViewId="0">
      <selection activeCell="B8" sqref="B8:J8"/>
    </sheetView>
  </sheetViews>
  <sheetFormatPr defaultRowHeight="12.75" x14ac:dyDescent="0.2"/>
  <sheetData>
    <row r="4" spans="1:13" x14ac:dyDescent="0.2">
      <c r="A4" s="9"/>
      <c r="B4" s="48">
        <v>6.9564000000000004</v>
      </c>
      <c r="C4" s="15" t="s">
        <v>510</v>
      </c>
      <c r="D4" s="48">
        <v>18.8385</v>
      </c>
      <c r="E4" s="12" t="s">
        <v>356</v>
      </c>
      <c r="F4" s="12" t="s">
        <v>511</v>
      </c>
      <c r="G4" s="12" t="s">
        <v>358</v>
      </c>
      <c r="H4" s="12" t="s">
        <v>541</v>
      </c>
      <c r="I4" s="58">
        <v>54.396900000000002</v>
      </c>
      <c r="J4" s="12" t="s">
        <v>360</v>
      </c>
    </row>
    <row r="5" spans="1:13" x14ac:dyDescent="0.2">
      <c r="A5" s="72" t="s">
        <v>0</v>
      </c>
      <c r="B5" s="34">
        <f>61.3633/B4</f>
        <v>8.8211287447530324</v>
      </c>
      <c r="C5" s="34">
        <f t="shared" ref="C5:J5" si="0">61.3633/C4</f>
        <v>4.7458081979891729</v>
      </c>
      <c r="D5" s="34">
        <f t="shared" si="0"/>
        <v>3.2573347134856809</v>
      </c>
      <c r="E5" s="34">
        <f t="shared" si="0"/>
        <v>2.3840684722346333</v>
      </c>
      <c r="F5" s="34">
        <f t="shared" si="0"/>
        <v>1.8983761342156471</v>
      </c>
      <c r="G5" s="34">
        <f t="shared" si="0"/>
        <v>1.5340825</v>
      </c>
      <c r="H5" s="34">
        <f t="shared" si="0"/>
        <v>1.3600745607035836</v>
      </c>
      <c r="I5" s="34">
        <f t="shared" si="0"/>
        <v>1.1280661214150072</v>
      </c>
      <c r="J5" s="34">
        <f t="shared" si="0"/>
        <v>1</v>
      </c>
    </row>
    <row r="6" spans="1:13" x14ac:dyDescent="0.2">
      <c r="A6" s="72" t="s">
        <v>1</v>
      </c>
      <c r="B6" s="73"/>
      <c r="C6" s="43">
        <f t="shared" ref="C6:J6" si="1">B5/C5</f>
        <v>1.8587200276004827</v>
      </c>
      <c r="D6" s="73">
        <f t="shared" si="1"/>
        <v>1.4569605568445476</v>
      </c>
      <c r="E6" s="22">
        <f t="shared" si="1"/>
        <v>1.3662924330493404</v>
      </c>
      <c r="F6" s="22">
        <f t="shared" si="1"/>
        <v>1.2558462094339697</v>
      </c>
      <c r="G6" s="22">
        <f t="shared" si="1"/>
        <v>1.2374667817510774</v>
      </c>
      <c r="H6" s="22">
        <f t="shared" si="1"/>
        <v>1.1279399999999999</v>
      </c>
      <c r="I6" s="22">
        <f t="shared" si="1"/>
        <v>1.2056691845310921</v>
      </c>
      <c r="J6" s="22">
        <f t="shared" si="1"/>
        <v>1.1280661214150072</v>
      </c>
      <c r="L6" t="s">
        <v>540</v>
      </c>
      <c r="M6">
        <f>B5/J5</f>
        <v>8.8211287447530324</v>
      </c>
    </row>
    <row r="7" spans="1:13" x14ac:dyDescent="0.2">
      <c r="A7" s="9"/>
      <c r="B7" s="50">
        <f>100/B5</f>
        <v>11.336417695919224</v>
      </c>
      <c r="C7" s="8">
        <f t="shared" ref="C7:J7" si="2">100/C5</f>
        <v>21.071226612649578</v>
      </c>
      <c r="D7" s="50">
        <f t="shared" si="2"/>
        <v>30.699946058963583</v>
      </c>
      <c r="E7" s="7">
        <f t="shared" si="2"/>
        <v>41.945103995384862</v>
      </c>
      <c r="F7" s="7">
        <f t="shared" si="2"/>
        <v>52.676599856917733</v>
      </c>
      <c r="G7" s="7">
        <f t="shared" si="2"/>
        <v>65.185542498529244</v>
      </c>
      <c r="H7" s="7">
        <f t="shared" si="2"/>
        <v>73.525380805791087</v>
      </c>
      <c r="I7" s="7">
        <f t="shared" si="2"/>
        <v>88.647285918456134</v>
      </c>
      <c r="J7" s="7">
        <f t="shared" si="2"/>
        <v>100</v>
      </c>
    </row>
    <row r="8" spans="1:13" x14ac:dyDescent="0.2">
      <c r="B8" s="51">
        <f>1/B5</f>
        <v>0.11336417695919224</v>
      </c>
      <c r="C8" s="51">
        <f t="shared" ref="C8:J8" si="3">1/C5</f>
        <v>0.2107122661264958</v>
      </c>
      <c r="D8" s="51">
        <f t="shared" si="3"/>
        <v>0.30699946058963584</v>
      </c>
      <c r="E8" s="51">
        <f t="shared" si="3"/>
        <v>0.41945103995384864</v>
      </c>
      <c r="F8" s="51">
        <f t="shared" si="3"/>
        <v>0.52676599856917738</v>
      </c>
      <c r="G8" s="51">
        <f t="shared" si="3"/>
        <v>0.65185542498529248</v>
      </c>
      <c r="H8" s="51">
        <f t="shared" si="3"/>
        <v>0.73525380805791085</v>
      </c>
      <c r="I8" s="51">
        <f t="shared" si="3"/>
        <v>0.88647285918456142</v>
      </c>
      <c r="J8" s="51">
        <f t="shared" si="3"/>
        <v>1</v>
      </c>
    </row>
    <row r="9" spans="1:13" x14ac:dyDescent="0.2">
      <c r="A9" s="188" t="s">
        <v>60</v>
      </c>
      <c r="B9" s="188"/>
      <c r="C9" s="188"/>
      <c r="D9" s="52"/>
      <c r="F9" s="189" t="s">
        <v>97</v>
      </c>
      <c r="G9" s="189"/>
      <c r="H9" s="189"/>
    </row>
    <row r="10" spans="1:13" x14ac:dyDescent="0.2">
      <c r="B10" s="51"/>
      <c r="C10" s="2"/>
      <c r="D10" s="52"/>
      <c r="F10" s="185" t="s">
        <v>554</v>
      </c>
      <c r="G10" s="185"/>
      <c r="H10" s="185"/>
    </row>
    <row r="11" spans="1:13" x14ac:dyDescent="0.2">
      <c r="A11" s="7" t="s">
        <v>2</v>
      </c>
      <c r="B11" s="8" t="s">
        <v>3</v>
      </c>
      <c r="C11" s="20" t="s">
        <v>0</v>
      </c>
      <c r="D11" s="52"/>
      <c r="F11" s="7" t="s">
        <v>2</v>
      </c>
      <c r="G11" s="7" t="s">
        <v>3</v>
      </c>
      <c r="H11" s="21" t="s">
        <v>0</v>
      </c>
    </row>
    <row r="12" spans="1:13" x14ac:dyDescent="0.2">
      <c r="A12" s="187" t="s">
        <v>162</v>
      </c>
      <c r="B12" s="18" t="s">
        <v>162</v>
      </c>
      <c r="C12" s="18" t="s">
        <v>6</v>
      </c>
      <c r="D12" s="53"/>
      <c r="E12" s="39"/>
      <c r="F12" s="187" t="s">
        <v>110</v>
      </c>
      <c r="G12" s="18" t="s">
        <v>555</v>
      </c>
      <c r="H12" s="18" t="s">
        <v>556</v>
      </c>
    </row>
    <row r="13" spans="1:13" x14ac:dyDescent="0.2">
      <c r="A13" s="187"/>
      <c r="B13" s="5"/>
      <c r="C13" s="5"/>
      <c r="D13" s="53"/>
      <c r="E13" s="39"/>
      <c r="F13" s="187"/>
      <c r="G13" s="4"/>
      <c r="H13" s="4"/>
    </row>
    <row r="14" spans="1:13" x14ac:dyDescent="0.2">
      <c r="A14" s="187"/>
      <c r="B14" s="5"/>
      <c r="C14" s="5"/>
      <c r="D14" s="53"/>
      <c r="E14" s="39"/>
      <c r="F14" s="187"/>
      <c r="G14" s="4"/>
      <c r="H14" s="4"/>
    </row>
    <row r="15" spans="1:13" x14ac:dyDescent="0.2">
      <c r="A15" s="187" t="s">
        <v>326</v>
      </c>
      <c r="B15" s="18" t="s">
        <v>326</v>
      </c>
      <c r="C15" s="18" t="s">
        <v>514</v>
      </c>
      <c r="D15" s="53"/>
    </row>
    <row r="16" spans="1:13" x14ac:dyDescent="0.2">
      <c r="A16" s="187"/>
      <c r="B16" s="5"/>
      <c r="C16" s="5"/>
      <c r="D16" s="53"/>
      <c r="E16">
        <v>1</v>
      </c>
      <c r="F16" s="187" t="s">
        <v>162</v>
      </c>
      <c r="G16" s="18" t="s">
        <v>162</v>
      </c>
      <c r="H16" s="18" t="s">
        <v>6</v>
      </c>
    </row>
    <row r="17" spans="1:11" x14ac:dyDescent="0.2">
      <c r="A17" s="187"/>
      <c r="B17" s="5"/>
      <c r="C17" s="5"/>
      <c r="D17" s="53"/>
      <c r="F17" s="187"/>
      <c r="G17" s="5"/>
      <c r="H17" s="5"/>
    </row>
    <row r="18" spans="1:11" x14ac:dyDescent="0.2">
      <c r="A18" s="186" t="s">
        <v>4</v>
      </c>
      <c r="B18" s="26" t="s">
        <v>417</v>
      </c>
      <c r="C18" s="25" t="s">
        <v>517</v>
      </c>
      <c r="D18" s="53"/>
      <c r="F18" s="187"/>
      <c r="G18" s="5"/>
      <c r="H18" s="5"/>
    </row>
    <row r="19" spans="1:11" x14ac:dyDescent="0.2">
      <c r="A19" s="186"/>
      <c r="B19" s="4"/>
      <c r="C19" s="5"/>
      <c r="D19" s="53"/>
      <c r="E19">
        <v>2</v>
      </c>
      <c r="F19" s="187" t="s">
        <v>326</v>
      </c>
      <c r="G19" s="18" t="s">
        <v>326</v>
      </c>
      <c r="H19" s="18" t="s">
        <v>514</v>
      </c>
    </row>
    <row r="20" spans="1:11" x14ac:dyDescent="0.2">
      <c r="A20" s="186"/>
      <c r="B20" s="4"/>
      <c r="C20" s="5"/>
      <c r="D20" s="53"/>
      <c r="F20" s="187"/>
      <c r="G20" s="5"/>
      <c r="H20" s="5"/>
    </row>
    <row r="21" spans="1:11" x14ac:dyDescent="0.2">
      <c r="A21" s="223" t="s">
        <v>367</v>
      </c>
      <c r="B21" s="64" t="s">
        <v>371</v>
      </c>
      <c r="C21" s="91">
        <v>-2.78</v>
      </c>
      <c r="D21" s="53"/>
      <c r="F21" s="187"/>
      <c r="G21" s="5"/>
      <c r="H21" s="5"/>
      <c r="K21" t="s">
        <v>465</v>
      </c>
    </row>
    <row r="22" spans="1:11" x14ac:dyDescent="0.2">
      <c r="A22" s="224"/>
      <c r="B22" s="90"/>
      <c r="C22" s="67"/>
      <c r="D22" s="53"/>
      <c r="E22">
        <v>3</v>
      </c>
      <c r="F22" s="216" t="s">
        <v>281</v>
      </c>
      <c r="G22" s="18" t="s">
        <v>281</v>
      </c>
      <c r="H22" s="18" t="s">
        <v>529</v>
      </c>
    </row>
    <row r="23" spans="1:11" x14ac:dyDescent="0.2">
      <c r="A23" s="225"/>
      <c r="B23" s="90"/>
      <c r="C23" s="67"/>
      <c r="D23" s="53"/>
      <c r="F23" s="217"/>
      <c r="G23" s="5"/>
      <c r="H23" s="5"/>
    </row>
    <row r="24" spans="1:11" x14ac:dyDescent="0.2">
      <c r="A24" s="90" t="s">
        <v>41</v>
      </c>
      <c r="B24" s="4" t="s">
        <v>51</v>
      </c>
      <c r="C24" s="54"/>
      <c r="D24" s="53"/>
      <c r="F24" s="218"/>
      <c r="G24" s="5"/>
      <c r="H24" s="5"/>
    </row>
    <row r="25" spans="1:11" x14ac:dyDescent="0.2">
      <c r="A25" s="90" t="s">
        <v>41</v>
      </c>
      <c r="B25" s="4" t="s">
        <v>373</v>
      </c>
      <c r="C25" s="54"/>
      <c r="D25" s="53"/>
      <c r="E25" t="s">
        <v>465</v>
      </c>
      <c r="F25" s="186" t="s">
        <v>4</v>
      </c>
      <c r="G25" s="26" t="s">
        <v>417</v>
      </c>
      <c r="H25" s="25" t="s">
        <v>517</v>
      </c>
    </row>
    <row r="26" spans="1:11" x14ac:dyDescent="0.2">
      <c r="A26" s="80"/>
      <c r="B26" s="80"/>
      <c r="C26" s="54"/>
      <c r="D26" s="53"/>
      <c r="F26" s="186"/>
      <c r="G26" s="4"/>
      <c r="H26" s="5"/>
    </row>
    <row r="27" spans="1:11" x14ac:dyDescent="0.2">
      <c r="D27" s="53"/>
      <c r="F27" s="186"/>
      <c r="G27" s="4"/>
      <c r="H27" s="5"/>
    </row>
    <row r="28" spans="1:11" x14ac:dyDescent="0.2">
      <c r="D28" s="53"/>
      <c r="E28">
        <v>4</v>
      </c>
      <c r="F28" s="223">
        <v>249</v>
      </c>
      <c r="G28" s="29" t="s">
        <v>427</v>
      </c>
      <c r="H28" s="18" t="s">
        <v>557</v>
      </c>
    </row>
    <row r="29" spans="1:11" x14ac:dyDescent="0.2">
      <c r="D29" s="53"/>
      <c r="F29" s="224"/>
      <c r="G29" s="4"/>
      <c r="H29" s="5"/>
    </row>
    <row r="30" spans="1:11" x14ac:dyDescent="0.2">
      <c r="D30" s="53"/>
      <c r="F30" s="225"/>
      <c r="G30" s="4"/>
      <c r="H30" s="5"/>
    </row>
    <row r="31" spans="1:11" x14ac:dyDescent="0.2">
      <c r="D31" s="53"/>
      <c r="F31" s="223" t="s">
        <v>70</v>
      </c>
      <c r="G31" s="26" t="s">
        <v>70</v>
      </c>
      <c r="H31" s="25" t="s">
        <v>559</v>
      </c>
    </row>
    <row r="32" spans="1:11" x14ac:dyDescent="0.2">
      <c r="D32" s="53"/>
      <c r="F32" s="224"/>
      <c r="G32" s="4"/>
      <c r="H32" s="5"/>
    </row>
    <row r="33" spans="4:8" x14ac:dyDescent="0.2">
      <c r="D33" s="53"/>
      <c r="F33" s="225"/>
      <c r="G33" s="4"/>
      <c r="H33" s="5"/>
    </row>
    <row r="34" spans="4:8" x14ac:dyDescent="0.2">
      <c r="D34" s="53"/>
      <c r="E34">
        <v>5</v>
      </c>
      <c r="F34" s="186" t="s">
        <v>367</v>
      </c>
      <c r="G34" s="64" t="s">
        <v>371</v>
      </c>
      <c r="H34" s="91">
        <v>-2.78</v>
      </c>
    </row>
    <row r="35" spans="4:8" x14ac:dyDescent="0.2">
      <c r="D35" s="53"/>
      <c r="F35" s="186"/>
      <c r="G35" s="90"/>
      <c r="H35" s="67"/>
    </row>
    <row r="36" spans="4:8" x14ac:dyDescent="0.2">
      <c r="D36" s="53"/>
      <c r="F36" s="186"/>
      <c r="G36" s="90"/>
      <c r="H36" s="67"/>
    </row>
    <row r="37" spans="4:8" x14ac:dyDescent="0.2">
      <c r="D37" s="53"/>
      <c r="E37" t="s">
        <v>465</v>
      </c>
      <c r="F37" s="186">
        <v>349</v>
      </c>
      <c r="G37" s="65">
        <v>394</v>
      </c>
      <c r="H37" s="57">
        <v>1.1100000000000001</v>
      </c>
    </row>
    <row r="38" spans="4:8" x14ac:dyDescent="0.2">
      <c r="D38" s="53"/>
      <c r="F38" s="186"/>
      <c r="G38" s="90"/>
      <c r="H38" s="67"/>
    </row>
    <row r="39" spans="4:8" x14ac:dyDescent="0.2">
      <c r="D39" s="53"/>
      <c r="F39" s="186"/>
      <c r="G39" s="90"/>
      <c r="H39" s="67"/>
    </row>
    <row r="40" spans="4:8" x14ac:dyDescent="0.2">
      <c r="D40" s="53"/>
      <c r="E40">
        <v>6</v>
      </c>
      <c r="F40" s="223" t="s">
        <v>35</v>
      </c>
      <c r="G40" s="64" t="s">
        <v>35</v>
      </c>
      <c r="H40" s="91">
        <v>-2.52</v>
      </c>
    </row>
    <row r="41" spans="4:8" x14ac:dyDescent="0.2">
      <c r="D41" s="53"/>
      <c r="F41" s="224"/>
      <c r="G41" s="90"/>
      <c r="H41" s="67"/>
    </row>
    <row r="42" spans="4:8" x14ac:dyDescent="0.2">
      <c r="D42" s="53"/>
      <c r="F42" s="225"/>
      <c r="G42" s="90"/>
      <c r="H42" s="67"/>
    </row>
    <row r="43" spans="4:8" x14ac:dyDescent="0.2">
      <c r="E43">
        <v>7</v>
      </c>
      <c r="F43" s="223" t="s">
        <v>72</v>
      </c>
      <c r="G43" s="29" t="s">
        <v>71</v>
      </c>
      <c r="H43" s="18" t="s">
        <v>558</v>
      </c>
    </row>
    <row r="44" spans="4:8" x14ac:dyDescent="0.2">
      <c r="F44" s="224"/>
      <c r="G44" s="4"/>
      <c r="H44" s="5"/>
    </row>
    <row r="45" spans="4:8" x14ac:dyDescent="0.2">
      <c r="F45" s="225"/>
      <c r="G45" s="4"/>
      <c r="H45" s="5"/>
    </row>
    <row r="47" spans="4:8" x14ac:dyDescent="0.2">
      <c r="F47" s="25" t="s">
        <v>555</v>
      </c>
      <c r="G47" s="25" t="s">
        <v>556</v>
      </c>
    </row>
    <row r="48" spans="4:8" x14ac:dyDescent="0.2">
      <c r="E48">
        <v>123</v>
      </c>
      <c r="F48" s="25" t="s">
        <v>162</v>
      </c>
      <c r="G48" s="25" t="s">
        <v>6</v>
      </c>
    </row>
    <row r="49" spans="5:9" x14ac:dyDescent="0.2">
      <c r="F49" s="25" t="s">
        <v>326</v>
      </c>
      <c r="G49" s="25" t="s">
        <v>514</v>
      </c>
    </row>
    <row r="50" spans="5:9" x14ac:dyDescent="0.2">
      <c r="F50" s="25" t="s">
        <v>281</v>
      </c>
      <c r="G50" s="25" t="s">
        <v>529</v>
      </c>
    </row>
    <row r="51" spans="5:9" x14ac:dyDescent="0.2">
      <c r="F51" s="65" t="s">
        <v>41</v>
      </c>
      <c r="G51" s="26" t="s">
        <v>51</v>
      </c>
    </row>
    <row r="52" spans="5:9" x14ac:dyDescent="0.2">
      <c r="F52" s="65" t="s">
        <v>41</v>
      </c>
      <c r="G52" s="26" t="s">
        <v>373</v>
      </c>
    </row>
    <row r="55" spans="5:9" x14ac:dyDescent="0.2">
      <c r="E55">
        <v>124</v>
      </c>
      <c r="F55" s="25" t="s">
        <v>555</v>
      </c>
      <c r="G55" s="25" t="s">
        <v>556</v>
      </c>
    </row>
    <row r="56" spans="5:9" x14ac:dyDescent="0.2">
      <c r="F56" s="25" t="s">
        <v>162</v>
      </c>
      <c r="G56" s="25" t="s">
        <v>6</v>
      </c>
    </row>
    <row r="57" spans="5:9" x14ac:dyDescent="0.2">
      <c r="F57" s="25" t="s">
        <v>326</v>
      </c>
      <c r="G57" s="25" t="s">
        <v>514</v>
      </c>
    </row>
    <row r="58" spans="5:9" x14ac:dyDescent="0.2">
      <c r="F58" s="26" t="s">
        <v>427</v>
      </c>
      <c r="G58" s="25" t="s">
        <v>557</v>
      </c>
    </row>
    <row r="59" spans="5:9" x14ac:dyDescent="0.2">
      <c r="F59" s="65" t="s">
        <v>41</v>
      </c>
      <c r="G59" s="26" t="s">
        <v>51</v>
      </c>
    </row>
    <row r="60" spans="5:9" x14ac:dyDescent="0.2">
      <c r="F60" s="65" t="s">
        <v>41</v>
      </c>
      <c r="G60" s="26" t="s">
        <v>373</v>
      </c>
    </row>
    <row r="62" spans="5:9" x14ac:dyDescent="0.2">
      <c r="E62">
        <v>125</v>
      </c>
      <c r="F62" s="25" t="s">
        <v>555</v>
      </c>
      <c r="G62" s="25" t="s">
        <v>556</v>
      </c>
      <c r="H62" s="210" t="s">
        <v>560</v>
      </c>
      <c r="I62" s="211"/>
    </row>
    <row r="63" spans="5:9" x14ac:dyDescent="0.2">
      <c r="F63" s="25" t="s">
        <v>162</v>
      </c>
      <c r="G63" s="25" t="s">
        <v>6</v>
      </c>
      <c r="H63" s="210"/>
      <c r="I63" s="211"/>
    </row>
    <row r="64" spans="5:9" x14ac:dyDescent="0.2">
      <c r="F64" s="25" t="s">
        <v>326</v>
      </c>
      <c r="G64" s="25" t="s">
        <v>514</v>
      </c>
      <c r="H64" s="210"/>
      <c r="I64" s="211"/>
    </row>
    <row r="65" spans="5:9" x14ac:dyDescent="0.2">
      <c r="F65" s="65" t="s">
        <v>371</v>
      </c>
      <c r="G65" s="57">
        <v>-2.78</v>
      </c>
      <c r="H65" s="210"/>
      <c r="I65" s="211"/>
    </row>
    <row r="66" spans="5:9" x14ac:dyDescent="0.2">
      <c r="F66" s="65" t="s">
        <v>41</v>
      </c>
      <c r="G66" s="26" t="s">
        <v>51</v>
      </c>
    </row>
    <row r="67" spans="5:9" x14ac:dyDescent="0.2">
      <c r="F67" s="65" t="s">
        <v>41</v>
      </c>
      <c r="G67" s="26" t="s">
        <v>373</v>
      </c>
    </row>
    <row r="69" spans="5:9" x14ac:dyDescent="0.2">
      <c r="E69">
        <v>126</v>
      </c>
      <c r="F69" s="25" t="s">
        <v>555</v>
      </c>
      <c r="G69" s="25" t="s">
        <v>556</v>
      </c>
    </row>
    <row r="70" spans="5:9" x14ac:dyDescent="0.2">
      <c r="F70" s="25" t="s">
        <v>162</v>
      </c>
      <c r="G70" s="25" t="s">
        <v>6</v>
      </c>
    </row>
    <row r="71" spans="5:9" x14ac:dyDescent="0.2">
      <c r="F71" s="25" t="s">
        <v>326</v>
      </c>
      <c r="G71" s="25" t="s">
        <v>514</v>
      </c>
    </row>
    <row r="72" spans="5:9" x14ac:dyDescent="0.2">
      <c r="F72" s="65" t="s">
        <v>35</v>
      </c>
      <c r="G72" s="57">
        <v>-2.52</v>
      </c>
    </row>
    <row r="73" spans="5:9" x14ac:dyDescent="0.2">
      <c r="F73" s="65" t="s">
        <v>41</v>
      </c>
      <c r="G73" s="26" t="s">
        <v>51</v>
      </c>
    </row>
    <row r="74" spans="5:9" x14ac:dyDescent="0.2">
      <c r="F74" s="65" t="s">
        <v>41</v>
      </c>
      <c r="G74" s="26" t="s">
        <v>373</v>
      </c>
    </row>
    <row r="76" spans="5:9" x14ac:dyDescent="0.2">
      <c r="E76">
        <v>127</v>
      </c>
      <c r="F76" s="25" t="s">
        <v>555</v>
      </c>
      <c r="G76" s="25" t="s">
        <v>556</v>
      </c>
    </row>
    <row r="77" spans="5:9" x14ac:dyDescent="0.2">
      <c r="F77" s="25" t="s">
        <v>162</v>
      </c>
      <c r="G77" s="25" t="s">
        <v>6</v>
      </c>
    </row>
    <row r="78" spans="5:9" x14ac:dyDescent="0.2">
      <c r="F78" s="25" t="s">
        <v>326</v>
      </c>
      <c r="G78" s="25" t="s">
        <v>514</v>
      </c>
    </row>
    <row r="79" spans="5:9" x14ac:dyDescent="0.2">
      <c r="F79" s="26" t="s">
        <v>71</v>
      </c>
      <c r="G79" s="25" t="s">
        <v>558</v>
      </c>
    </row>
    <row r="80" spans="5:9" x14ac:dyDescent="0.2">
      <c r="F80" s="65" t="s">
        <v>41</v>
      </c>
      <c r="G80" s="26" t="s">
        <v>51</v>
      </c>
    </row>
    <row r="81" spans="5:9" x14ac:dyDescent="0.2">
      <c r="F81" s="65" t="s">
        <v>41</v>
      </c>
      <c r="G81" s="26" t="s">
        <v>373</v>
      </c>
    </row>
    <row r="84" spans="5:9" x14ac:dyDescent="0.2">
      <c r="E84">
        <v>134</v>
      </c>
      <c r="F84" s="25" t="s">
        <v>555</v>
      </c>
      <c r="G84" s="25" t="s">
        <v>556</v>
      </c>
      <c r="H84" s="210" t="s">
        <v>561</v>
      </c>
      <c r="I84" s="238"/>
    </row>
    <row r="85" spans="5:9" x14ac:dyDescent="0.2">
      <c r="F85" s="25" t="s">
        <v>162</v>
      </c>
      <c r="G85" s="25" t="s">
        <v>6</v>
      </c>
      <c r="H85" s="210"/>
      <c r="I85" s="238"/>
    </row>
    <row r="86" spans="5:9" x14ac:dyDescent="0.2">
      <c r="F86" s="25" t="s">
        <v>281</v>
      </c>
      <c r="G86" s="25" t="s">
        <v>529</v>
      </c>
      <c r="H86" s="210"/>
      <c r="I86" s="238"/>
    </row>
    <row r="87" spans="5:9" x14ac:dyDescent="0.2">
      <c r="F87" s="26" t="s">
        <v>427</v>
      </c>
      <c r="G87" s="25" t="s">
        <v>557</v>
      </c>
      <c r="H87" s="210"/>
      <c r="I87" s="238"/>
    </row>
    <row r="88" spans="5:9" x14ac:dyDescent="0.2">
      <c r="F88" s="65" t="s">
        <v>41</v>
      </c>
      <c r="G88" s="26" t="s">
        <v>51</v>
      </c>
    </row>
    <row r="89" spans="5:9" x14ac:dyDescent="0.2">
      <c r="F89" s="65" t="s">
        <v>41</v>
      </c>
      <c r="G89" s="26" t="s">
        <v>373</v>
      </c>
    </row>
    <row r="91" spans="5:9" x14ac:dyDescent="0.2">
      <c r="E91">
        <v>135</v>
      </c>
      <c r="F91" s="25" t="s">
        <v>555</v>
      </c>
      <c r="G91" s="25" t="s">
        <v>556</v>
      </c>
    </row>
    <row r="92" spans="5:9" x14ac:dyDescent="0.2">
      <c r="F92" s="25" t="s">
        <v>162</v>
      </c>
      <c r="G92" s="25" t="s">
        <v>6</v>
      </c>
    </row>
    <row r="93" spans="5:9" x14ac:dyDescent="0.2">
      <c r="F93" s="25" t="s">
        <v>281</v>
      </c>
      <c r="G93" s="25" t="s">
        <v>529</v>
      </c>
    </row>
    <row r="94" spans="5:9" x14ac:dyDescent="0.2">
      <c r="F94" s="65" t="s">
        <v>371</v>
      </c>
      <c r="G94" s="57">
        <v>-2.78</v>
      </c>
    </row>
    <row r="95" spans="5:9" x14ac:dyDescent="0.2">
      <c r="F95" s="65" t="s">
        <v>41</v>
      </c>
      <c r="G95" s="26" t="s">
        <v>51</v>
      </c>
    </row>
    <row r="96" spans="5:9" x14ac:dyDescent="0.2">
      <c r="F96" s="65" t="s">
        <v>41</v>
      </c>
      <c r="G96" s="26" t="s">
        <v>373</v>
      </c>
    </row>
    <row r="98" spans="5:7" x14ac:dyDescent="0.2">
      <c r="E98">
        <v>136</v>
      </c>
      <c r="F98" s="25" t="s">
        <v>555</v>
      </c>
      <c r="G98" s="25" t="s">
        <v>556</v>
      </c>
    </row>
    <row r="99" spans="5:7" x14ac:dyDescent="0.2">
      <c r="F99" s="25" t="s">
        <v>162</v>
      </c>
      <c r="G99" s="25" t="s">
        <v>6</v>
      </c>
    </row>
    <row r="100" spans="5:7" x14ac:dyDescent="0.2">
      <c r="F100" s="25" t="s">
        <v>281</v>
      </c>
      <c r="G100" s="25" t="s">
        <v>529</v>
      </c>
    </row>
    <row r="101" spans="5:7" x14ac:dyDescent="0.2">
      <c r="F101" s="65" t="s">
        <v>35</v>
      </c>
      <c r="G101" s="57">
        <v>-2.52</v>
      </c>
    </row>
    <row r="102" spans="5:7" x14ac:dyDescent="0.2">
      <c r="F102" s="65" t="s">
        <v>41</v>
      </c>
      <c r="G102" s="26" t="s">
        <v>51</v>
      </c>
    </row>
    <row r="103" spans="5:7" x14ac:dyDescent="0.2">
      <c r="F103" s="65" t="s">
        <v>41</v>
      </c>
      <c r="G103" s="26" t="s">
        <v>373</v>
      </c>
    </row>
    <row r="105" spans="5:7" x14ac:dyDescent="0.2">
      <c r="E105">
        <v>137</v>
      </c>
      <c r="F105" s="25" t="s">
        <v>555</v>
      </c>
      <c r="G105" s="25" t="s">
        <v>556</v>
      </c>
    </row>
    <row r="106" spans="5:7" x14ac:dyDescent="0.2">
      <c r="F106" s="25" t="s">
        <v>162</v>
      </c>
      <c r="G106" s="25" t="s">
        <v>6</v>
      </c>
    </row>
    <row r="107" spans="5:7" x14ac:dyDescent="0.2">
      <c r="F107" s="25" t="s">
        <v>281</v>
      </c>
      <c r="G107" s="25" t="s">
        <v>529</v>
      </c>
    </row>
    <row r="108" spans="5:7" x14ac:dyDescent="0.2">
      <c r="F108" s="26" t="s">
        <v>71</v>
      </c>
      <c r="G108" s="25" t="s">
        <v>558</v>
      </c>
    </row>
    <row r="109" spans="5:7" x14ac:dyDescent="0.2">
      <c r="F109" s="65" t="s">
        <v>41</v>
      </c>
      <c r="G109" s="26" t="s">
        <v>51</v>
      </c>
    </row>
    <row r="110" spans="5:7" x14ac:dyDescent="0.2">
      <c r="F110" s="65" t="s">
        <v>41</v>
      </c>
      <c r="G110" s="26" t="s">
        <v>373</v>
      </c>
    </row>
    <row r="112" spans="5:7" x14ac:dyDescent="0.2">
      <c r="E112">
        <v>145</v>
      </c>
      <c r="F112" s="25" t="s">
        <v>555</v>
      </c>
      <c r="G112" s="25" t="s">
        <v>556</v>
      </c>
    </row>
    <row r="113" spans="5:7" x14ac:dyDescent="0.2">
      <c r="F113" s="25" t="s">
        <v>162</v>
      </c>
      <c r="G113" s="25" t="s">
        <v>6</v>
      </c>
    </row>
    <row r="114" spans="5:7" x14ac:dyDescent="0.2">
      <c r="F114" s="26" t="s">
        <v>427</v>
      </c>
      <c r="G114" s="25" t="s">
        <v>557</v>
      </c>
    </row>
    <row r="115" spans="5:7" x14ac:dyDescent="0.2">
      <c r="F115" s="65" t="s">
        <v>371</v>
      </c>
      <c r="G115" s="57">
        <v>-2.78</v>
      </c>
    </row>
    <row r="116" spans="5:7" x14ac:dyDescent="0.2">
      <c r="F116" s="65" t="s">
        <v>41</v>
      </c>
      <c r="G116" s="26" t="s">
        <v>51</v>
      </c>
    </row>
    <row r="117" spans="5:7" x14ac:dyDescent="0.2">
      <c r="F117" s="65" t="s">
        <v>41</v>
      </c>
      <c r="G117" s="26" t="s">
        <v>373</v>
      </c>
    </row>
    <row r="119" spans="5:7" x14ac:dyDescent="0.2">
      <c r="E119">
        <v>146</v>
      </c>
      <c r="F119" s="25" t="s">
        <v>555</v>
      </c>
      <c r="G119" s="25" t="s">
        <v>556</v>
      </c>
    </row>
    <row r="120" spans="5:7" x14ac:dyDescent="0.2">
      <c r="F120" s="25" t="s">
        <v>162</v>
      </c>
      <c r="G120" s="25" t="s">
        <v>6</v>
      </c>
    </row>
    <row r="121" spans="5:7" x14ac:dyDescent="0.2">
      <c r="F121" s="26" t="s">
        <v>427</v>
      </c>
      <c r="G121" s="25" t="s">
        <v>557</v>
      </c>
    </row>
    <row r="122" spans="5:7" x14ac:dyDescent="0.2">
      <c r="F122" s="65" t="s">
        <v>35</v>
      </c>
      <c r="G122" s="57">
        <v>-2.52</v>
      </c>
    </row>
    <row r="123" spans="5:7" x14ac:dyDescent="0.2">
      <c r="F123" s="65" t="s">
        <v>41</v>
      </c>
      <c r="G123" s="26" t="s">
        <v>51</v>
      </c>
    </row>
    <row r="124" spans="5:7" x14ac:dyDescent="0.2">
      <c r="F124" s="65" t="s">
        <v>41</v>
      </c>
      <c r="G124" s="26" t="s">
        <v>373</v>
      </c>
    </row>
    <row r="126" spans="5:7" x14ac:dyDescent="0.2">
      <c r="E126">
        <v>147</v>
      </c>
      <c r="F126" s="25" t="s">
        <v>555</v>
      </c>
      <c r="G126" s="25" t="s">
        <v>556</v>
      </c>
    </row>
    <row r="127" spans="5:7" x14ac:dyDescent="0.2">
      <c r="F127" s="25" t="s">
        <v>162</v>
      </c>
      <c r="G127" s="25" t="s">
        <v>6</v>
      </c>
    </row>
    <row r="128" spans="5:7" x14ac:dyDescent="0.2">
      <c r="F128" s="26" t="s">
        <v>427</v>
      </c>
      <c r="G128" s="25" t="s">
        <v>557</v>
      </c>
    </row>
    <row r="129" spans="5:7" x14ac:dyDescent="0.2">
      <c r="F129" s="26" t="s">
        <v>71</v>
      </c>
      <c r="G129" s="25" t="s">
        <v>558</v>
      </c>
    </row>
    <row r="130" spans="5:7" x14ac:dyDescent="0.2">
      <c r="F130" s="65" t="s">
        <v>41</v>
      </c>
      <c r="G130" s="26" t="s">
        <v>51</v>
      </c>
    </row>
    <row r="131" spans="5:7" x14ac:dyDescent="0.2">
      <c r="F131" s="65" t="s">
        <v>41</v>
      </c>
      <c r="G131" s="26" t="s">
        <v>373</v>
      </c>
    </row>
    <row r="133" spans="5:7" x14ac:dyDescent="0.2">
      <c r="E133">
        <v>156</v>
      </c>
      <c r="F133" s="25" t="s">
        <v>555</v>
      </c>
      <c r="G133" s="25" t="s">
        <v>556</v>
      </c>
    </row>
    <row r="134" spans="5:7" x14ac:dyDescent="0.2">
      <c r="F134" s="25" t="s">
        <v>162</v>
      </c>
      <c r="G134" s="25" t="s">
        <v>6</v>
      </c>
    </row>
    <row r="135" spans="5:7" x14ac:dyDescent="0.2">
      <c r="F135" s="65" t="s">
        <v>371</v>
      </c>
      <c r="G135" s="57">
        <v>-2.78</v>
      </c>
    </row>
    <row r="136" spans="5:7" x14ac:dyDescent="0.2">
      <c r="F136" s="65" t="s">
        <v>35</v>
      </c>
      <c r="G136" s="57">
        <v>-2.52</v>
      </c>
    </row>
    <row r="137" spans="5:7" x14ac:dyDescent="0.2">
      <c r="F137" s="65" t="s">
        <v>41</v>
      </c>
      <c r="G137" s="26" t="s">
        <v>51</v>
      </c>
    </row>
    <row r="138" spans="5:7" x14ac:dyDescent="0.2">
      <c r="F138" s="65" t="s">
        <v>41</v>
      </c>
      <c r="G138" s="26" t="s">
        <v>373</v>
      </c>
    </row>
    <row r="140" spans="5:7" x14ac:dyDescent="0.2">
      <c r="E140">
        <v>157</v>
      </c>
      <c r="F140" s="25" t="s">
        <v>555</v>
      </c>
      <c r="G140" s="25" t="s">
        <v>556</v>
      </c>
    </row>
    <row r="141" spans="5:7" x14ac:dyDescent="0.2">
      <c r="F141" s="25" t="s">
        <v>162</v>
      </c>
      <c r="G141" s="25" t="s">
        <v>6</v>
      </c>
    </row>
    <row r="142" spans="5:7" x14ac:dyDescent="0.2">
      <c r="F142" s="65" t="s">
        <v>371</v>
      </c>
      <c r="G142" s="57">
        <v>-2.78</v>
      </c>
    </row>
    <row r="143" spans="5:7" x14ac:dyDescent="0.2">
      <c r="F143" s="26" t="s">
        <v>71</v>
      </c>
      <c r="G143" s="25" t="s">
        <v>558</v>
      </c>
    </row>
    <row r="144" spans="5:7" x14ac:dyDescent="0.2">
      <c r="F144" s="65" t="s">
        <v>41</v>
      </c>
      <c r="G144" s="26" t="s">
        <v>51</v>
      </c>
    </row>
    <row r="145" spans="5:7" x14ac:dyDescent="0.2">
      <c r="F145" s="65" t="s">
        <v>41</v>
      </c>
      <c r="G145" s="26" t="s">
        <v>373</v>
      </c>
    </row>
    <row r="147" spans="5:7" x14ac:dyDescent="0.2">
      <c r="E147">
        <v>167</v>
      </c>
      <c r="F147" s="25" t="s">
        <v>555</v>
      </c>
      <c r="G147" s="25" t="s">
        <v>556</v>
      </c>
    </row>
    <row r="148" spans="5:7" x14ac:dyDescent="0.2">
      <c r="F148" s="25" t="s">
        <v>162</v>
      </c>
      <c r="G148" s="25" t="s">
        <v>6</v>
      </c>
    </row>
    <row r="149" spans="5:7" x14ac:dyDescent="0.2">
      <c r="F149" s="65" t="s">
        <v>35</v>
      </c>
      <c r="G149" s="57">
        <v>-2.52</v>
      </c>
    </row>
    <row r="150" spans="5:7" x14ac:dyDescent="0.2">
      <c r="F150" s="26" t="s">
        <v>71</v>
      </c>
      <c r="G150" s="25" t="s">
        <v>558</v>
      </c>
    </row>
    <row r="151" spans="5:7" x14ac:dyDescent="0.2">
      <c r="F151" s="65" t="s">
        <v>41</v>
      </c>
      <c r="G151" s="26" t="s">
        <v>51</v>
      </c>
    </row>
    <row r="152" spans="5:7" x14ac:dyDescent="0.2">
      <c r="F152" s="65" t="s">
        <v>41</v>
      </c>
      <c r="G152" s="26" t="s">
        <v>373</v>
      </c>
    </row>
    <row r="154" spans="5:7" x14ac:dyDescent="0.2">
      <c r="E154">
        <v>234</v>
      </c>
      <c r="F154" s="25" t="s">
        <v>555</v>
      </c>
      <c r="G154" s="25" t="s">
        <v>556</v>
      </c>
    </row>
    <row r="155" spans="5:7" x14ac:dyDescent="0.2">
      <c r="F155" s="25" t="s">
        <v>326</v>
      </c>
      <c r="G155" s="25" t="s">
        <v>514</v>
      </c>
    </row>
    <row r="156" spans="5:7" x14ac:dyDescent="0.2">
      <c r="F156" s="25" t="s">
        <v>281</v>
      </c>
      <c r="G156" s="25" t="s">
        <v>529</v>
      </c>
    </row>
    <row r="157" spans="5:7" x14ac:dyDescent="0.2">
      <c r="F157" s="26" t="s">
        <v>427</v>
      </c>
      <c r="G157" s="25" t="s">
        <v>557</v>
      </c>
    </row>
    <row r="158" spans="5:7" x14ac:dyDescent="0.2">
      <c r="F158" s="65" t="s">
        <v>41</v>
      </c>
      <c r="G158" s="26" t="s">
        <v>51</v>
      </c>
    </row>
    <row r="159" spans="5:7" x14ac:dyDescent="0.2">
      <c r="F159" s="65" t="s">
        <v>41</v>
      </c>
      <c r="G159" s="26" t="s">
        <v>373</v>
      </c>
    </row>
    <row r="161" spans="5:9" x14ac:dyDescent="0.2">
      <c r="E161">
        <v>235</v>
      </c>
      <c r="F161" s="25" t="s">
        <v>555</v>
      </c>
      <c r="G161" s="25" t="s">
        <v>556</v>
      </c>
    </row>
    <row r="162" spans="5:9" x14ac:dyDescent="0.2">
      <c r="F162" s="25" t="s">
        <v>326</v>
      </c>
      <c r="G162" s="25" t="s">
        <v>514</v>
      </c>
    </row>
    <row r="163" spans="5:9" x14ac:dyDescent="0.2">
      <c r="F163" s="25" t="s">
        <v>281</v>
      </c>
      <c r="G163" s="25" t="s">
        <v>529</v>
      </c>
    </row>
    <row r="164" spans="5:9" x14ac:dyDescent="0.2">
      <c r="F164" s="65" t="s">
        <v>371</v>
      </c>
      <c r="G164" s="57">
        <v>-2.78</v>
      </c>
    </row>
    <row r="165" spans="5:9" x14ac:dyDescent="0.2">
      <c r="F165" s="65" t="s">
        <v>41</v>
      </c>
      <c r="G165" s="26" t="s">
        <v>51</v>
      </c>
    </row>
    <row r="166" spans="5:9" x14ac:dyDescent="0.2">
      <c r="F166" s="65" t="s">
        <v>41</v>
      </c>
      <c r="G166" s="26" t="s">
        <v>373</v>
      </c>
    </row>
    <row r="168" spans="5:9" x14ac:dyDescent="0.2">
      <c r="E168">
        <v>236</v>
      </c>
      <c r="F168" s="25" t="s">
        <v>555</v>
      </c>
      <c r="G168" s="25" t="s">
        <v>556</v>
      </c>
      <c r="H168" s="210" t="s">
        <v>536</v>
      </c>
      <c r="I168" s="238"/>
    </row>
    <row r="169" spans="5:9" x14ac:dyDescent="0.2">
      <c r="F169" s="25" t="s">
        <v>326</v>
      </c>
      <c r="G169" s="25" t="s">
        <v>514</v>
      </c>
      <c r="H169" s="210"/>
      <c r="I169" s="238"/>
    </row>
    <row r="170" spans="5:9" x14ac:dyDescent="0.2">
      <c r="F170" s="25" t="s">
        <v>281</v>
      </c>
      <c r="G170" s="25" t="s">
        <v>529</v>
      </c>
      <c r="H170" s="210"/>
      <c r="I170" s="238"/>
    </row>
    <row r="171" spans="5:9" x14ac:dyDescent="0.2">
      <c r="F171" s="65" t="s">
        <v>35</v>
      </c>
      <c r="G171" s="57">
        <v>-2.52</v>
      </c>
      <c r="H171" s="210"/>
      <c r="I171" s="238"/>
    </row>
    <row r="172" spans="5:9" x14ac:dyDescent="0.2">
      <c r="F172" s="65" t="s">
        <v>41</v>
      </c>
      <c r="G172" s="26" t="s">
        <v>51</v>
      </c>
    </row>
    <row r="173" spans="5:9" x14ac:dyDescent="0.2">
      <c r="F173" s="65" t="s">
        <v>41</v>
      </c>
      <c r="G173" s="26" t="s">
        <v>373</v>
      </c>
    </row>
    <row r="175" spans="5:9" x14ac:dyDescent="0.2">
      <c r="E175">
        <v>237</v>
      </c>
      <c r="F175" s="25" t="s">
        <v>555</v>
      </c>
      <c r="G175" s="25" t="s">
        <v>556</v>
      </c>
    </row>
    <row r="176" spans="5:9" x14ac:dyDescent="0.2">
      <c r="F176" s="25" t="s">
        <v>326</v>
      </c>
      <c r="G176" s="25" t="s">
        <v>514</v>
      </c>
    </row>
    <row r="177" spans="5:7" x14ac:dyDescent="0.2">
      <c r="F177" s="25" t="s">
        <v>281</v>
      </c>
      <c r="G177" s="25" t="s">
        <v>529</v>
      </c>
    </row>
    <row r="178" spans="5:7" x14ac:dyDescent="0.2">
      <c r="F178" s="26" t="s">
        <v>71</v>
      </c>
      <c r="G178" s="25" t="s">
        <v>558</v>
      </c>
    </row>
    <row r="179" spans="5:7" x14ac:dyDescent="0.2">
      <c r="F179" s="65" t="s">
        <v>41</v>
      </c>
      <c r="G179" s="26" t="s">
        <v>51</v>
      </c>
    </row>
    <row r="180" spans="5:7" x14ac:dyDescent="0.2">
      <c r="F180" s="65" t="s">
        <v>41</v>
      </c>
      <c r="G180" s="26" t="s">
        <v>373</v>
      </c>
    </row>
    <row r="182" spans="5:7" x14ac:dyDescent="0.2">
      <c r="E182">
        <v>245</v>
      </c>
      <c r="F182" s="25" t="s">
        <v>555</v>
      </c>
      <c r="G182" s="25" t="s">
        <v>556</v>
      </c>
    </row>
    <row r="183" spans="5:7" x14ac:dyDescent="0.2">
      <c r="F183" s="25" t="s">
        <v>326</v>
      </c>
      <c r="G183" s="25" t="s">
        <v>514</v>
      </c>
    </row>
    <row r="184" spans="5:7" x14ac:dyDescent="0.2">
      <c r="F184" s="26" t="s">
        <v>427</v>
      </c>
      <c r="G184" s="25" t="s">
        <v>557</v>
      </c>
    </row>
    <row r="185" spans="5:7" x14ac:dyDescent="0.2">
      <c r="F185" s="65" t="s">
        <v>371</v>
      </c>
      <c r="G185" s="57">
        <v>-2.78</v>
      </c>
    </row>
    <row r="186" spans="5:7" x14ac:dyDescent="0.2">
      <c r="F186" s="65" t="s">
        <v>41</v>
      </c>
      <c r="G186" s="26" t="s">
        <v>51</v>
      </c>
    </row>
    <row r="187" spans="5:7" x14ac:dyDescent="0.2">
      <c r="F187" s="65" t="s">
        <v>41</v>
      </c>
      <c r="G187" s="26" t="s">
        <v>373</v>
      </c>
    </row>
    <row r="189" spans="5:7" x14ac:dyDescent="0.2">
      <c r="E189">
        <v>246</v>
      </c>
      <c r="F189" s="25" t="s">
        <v>555</v>
      </c>
      <c r="G189" s="25" t="s">
        <v>556</v>
      </c>
    </row>
    <row r="190" spans="5:7" x14ac:dyDescent="0.2">
      <c r="F190" s="25" t="s">
        <v>326</v>
      </c>
      <c r="G190" s="25" t="s">
        <v>514</v>
      </c>
    </row>
    <row r="191" spans="5:7" x14ac:dyDescent="0.2">
      <c r="F191" s="26" t="s">
        <v>427</v>
      </c>
      <c r="G191" s="25" t="s">
        <v>557</v>
      </c>
    </row>
    <row r="192" spans="5:7" x14ac:dyDescent="0.2">
      <c r="F192" s="65" t="s">
        <v>35</v>
      </c>
      <c r="G192" s="57">
        <v>-2.52</v>
      </c>
    </row>
    <row r="193" spans="5:7" x14ac:dyDescent="0.2">
      <c r="F193" s="65" t="s">
        <v>41</v>
      </c>
      <c r="G193" s="26" t="s">
        <v>51</v>
      </c>
    </row>
    <row r="194" spans="5:7" x14ac:dyDescent="0.2">
      <c r="F194" s="65" t="s">
        <v>41</v>
      </c>
      <c r="G194" s="26" t="s">
        <v>373</v>
      </c>
    </row>
    <row r="196" spans="5:7" x14ac:dyDescent="0.2">
      <c r="E196">
        <v>247</v>
      </c>
      <c r="F196" s="25" t="s">
        <v>555</v>
      </c>
      <c r="G196" s="25" t="s">
        <v>556</v>
      </c>
    </row>
    <row r="197" spans="5:7" x14ac:dyDescent="0.2">
      <c r="F197" s="25" t="s">
        <v>326</v>
      </c>
      <c r="G197" s="25" t="s">
        <v>514</v>
      </c>
    </row>
    <row r="198" spans="5:7" x14ac:dyDescent="0.2">
      <c r="F198" s="26" t="s">
        <v>427</v>
      </c>
      <c r="G198" s="25" t="s">
        <v>557</v>
      </c>
    </row>
    <row r="199" spans="5:7" x14ac:dyDescent="0.2">
      <c r="F199" s="26" t="s">
        <v>71</v>
      </c>
      <c r="G199" s="25" t="s">
        <v>558</v>
      </c>
    </row>
    <row r="200" spans="5:7" x14ac:dyDescent="0.2">
      <c r="F200" s="65" t="s">
        <v>41</v>
      </c>
      <c r="G200" s="26" t="s">
        <v>51</v>
      </c>
    </row>
    <row r="201" spans="5:7" x14ac:dyDescent="0.2">
      <c r="F201" s="65" t="s">
        <v>41</v>
      </c>
      <c r="G201" s="26" t="s">
        <v>373</v>
      </c>
    </row>
    <row r="203" spans="5:7" x14ac:dyDescent="0.2">
      <c r="E203">
        <v>256</v>
      </c>
      <c r="F203" s="25" t="s">
        <v>555</v>
      </c>
      <c r="G203" s="25" t="s">
        <v>556</v>
      </c>
    </row>
    <row r="204" spans="5:7" x14ac:dyDescent="0.2">
      <c r="F204" s="25" t="s">
        <v>326</v>
      </c>
      <c r="G204" s="25" t="s">
        <v>514</v>
      </c>
    </row>
    <row r="205" spans="5:7" x14ac:dyDescent="0.2">
      <c r="F205" s="65" t="s">
        <v>371</v>
      </c>
      <c r="G205" s="57">
        <v>-2.78</v>
      </c>
    </row>
    <row r="206" spans="5:7" x14ac:dyDescent="0.2">
      <c r="F206" s="65" t="s">
        <v>35</v>
      </c>
      <c r="G206" s="57">
        <v>-2.52</v>
      </c>
    </row>
    <row r="207" spans="5:7" x14ac:dyDescent="0.2">
      <c r="F207" s="65" t="s">
        <v>41</v>
      </c>
      <c r="G207" s="26" t="s">
        <v>51</v>
      </c>
    </row>
    <row r="208" spans="5:7" x14ac:dyDescent="0.2">
      <c r="F208" s="65" t="s">
        <v>41</v>
      </c>
      <c r="G208" s="26" t="s">
        <v>373</v>
      </c>
    </row>
    <row r="210" spans="5:7" x14ac:dyDescent="0.2">
      <c r="E210">
        <v>257</v>
      </c>
      <c r="F210" s="25" t="s">
        <v>555</v>
      </c>
      <c r="G210" s="25" t="s">
        <v>556</v>
      </c>
    </row>
    <row r="211" spans="5:7" x14ac:dyDescent="0.2">
      <c r="F211" s="25" t="s">
        <v>326</v>
      </c>
      <c r="G211" s="25" t="s">
        <v>514</v>
      </c>
    </row>
    <row r="212" spans="5:7" x14ac:dyDescent="0.2">
      <c r="F212" s="65" t="s">
        <v>371</v>
      </c>
      <c r="G212" s="57">
        <v>-2.78</v>
      </c>
    </row>
    <row r="213" spans="5:7" x14ac:dyDescent="0.2">
      <c r="F213" s="26" t="s">
        <v>71</v>
      </c>
      <c r="G213" s="25" t="s">
        <v>558</v>
      </c>
    </row>
    <row r="214" spans="5:7" x14ac:dyDescent="0.2">
      <c r="F214" s="65" t="s">
        <v>41</v>
      </c>
      <c r="G214" s="26" t="s">
        <v>51</v>
      </c>
    </row>
    <row r="215" spans="5:7" x14ac:dyDescent="0.2">
      <c r="F215" s="65" t="s">
        <v>41</v>
      </c>
      <c r="G215" s="26" t="s">
        <v>373</v>
      </c>
    </row>
    <row r="217" spans="5:7" x14ac:dyDescent="0.2">
      <c r="E217">
        <v>267</v>
      </c>
      <c r="F217" s="25" t="s">
        <v>555</v>
      </c>
      <c r="G217" s="25" t="s">
        <v>556</v>
      </c>
    </row>
    <row r="218" spans="5:7" x14ac:dyDescent="0.2">
      <c r="F218" s="25" t="s">
        <v>326</v>
      </c>
      <c r="G218" s="25" t="s">
        <v>514</v>
      </c>
    </row>
    <row r="219" spans="5:7" x14ac:dyDescent="0.2">
      <c r="F219" s="65" t="s">
        <v>35</v>
      </c>
      <c r="G219" s="57">
        <v>-2.52</v>
      </c>
    </row>
    <row r="220" spans="5:7" x14ac:dyDescent="0.2">
      <c r="F220" s="26" t="s">
        <v>71</v>
      </c>
      <c r="G220" s="25" t="s">
        <v>558</v>
      </c>
    </row>
    <row r="221" spans="5:7" x14ac:dyDescent="0.2">
      <c r="F221" s="65" t="s">
        <v>41</v>
      </c>
      <c r="G221" s="26" t="s">
        <v>51</v>
      </c>
    </row>
    <row r="222" spans="5:7" x14ac:dyDescent="0.2">
      <c r="F222" s="65" t="s">
        <v>41</v>
      </c>
      <c r="G222" s="26" t="s">
        <v>373</v>
      </c>
    </row>
    <row r="224" spans="5:7" x14ac:dyDescent="0.2">
      <c r="E224">
        <v>345</v>
      </c>
      <c r="F224" s="25" t="s">
        <v>555</v>
      </c>
      <c r="G224" s="25" t="s">
        <v>556</v>
      </c>
    </row>
    <row r="225" spans="5:7" x14ac:dyDescent="0.2">
      <c r="F225" s="25" t="s">
        <v>281</v>
      </c>
      <c r="G225" s="25" t="s">
        <v>529</v>
      </c>
    </row>
    <row r="226" spans="5:7" x14ac:dyDescent="0.2">
      <c r="F226" s="26" t="s">
        <v>427</v>
      </c>
      <c r="G226" s="25" t="s">
        <v>557</v>
      </c>
    </row>
    <row r="227" spans="5:7" x14ac:dyDescent="0.2">
      <c r="F227" s="65" t="s">
        <v>371</v>
      </c>
      <c r="G227" s="57">
        <v>-2.78</v>
      </c>
    </row>
    <row r="228" spans="5:7" x14ac:dyDescent="0.2">
      <c r="F228" s="65" t="s">
        <v>41</v>
      </c>
      <c r="G228" s="26" t="s">
        <v>51</v>
      </c>
    </row>
    <row r="229" spans="5:7" x14ac:dyDescent="0.2">
      <c r="F229" s="65" t="s">
        <v>41</v>
      </c>
      <c r="G229" s="26" t="s">
        <v>373</v>
      </c>
    </row>
    <row r="231" spans="5:7" x14ac:dyDescent="0.2">
      <c r="E231">
        <v>346</v>
      </c>
      <c r="F231" s="25" t="s">
        <v>555</v>
      </c>
      <c r="G231" s="25" t="s">
        <v>556</v>
      </c>
    </row>
    <row r="232" spans="5:7" x14ac:dyDescent="0.2">
      <c r="F232" s="25" t="s">
        <v>281</v>
      </c>
      <c r="G232" s="25" t="s">
        <v>529</v>
      </c>
    </row>
    <row r="233" spans="5:7" x14ac:dyDescent="0.2">
      <c r="F233" s="26" t="s">
        <v>427</v>
      </c>
      <c r="G233" s="25" t="s">
        <v>557</v>
      </c>
    </row>
    <row r="234" spans="5:7" x14ac:dyDescent="0.2">
      <c r="F234" s="65" t="s">
        <v>35</v>
      </c>
      <c r="G234" s="57">
        <v>-2.52</v>
      </c>
    </row>
    <row r="235" spans="5:7" x14ac:dyDescent="0.2">
      <c r="F235" s="65" t="s">
        <v>41</v>
      </c>
      <c r="G235" s="26" t="s">
        <v>51</v>
      </c>
    </row>
    <row r="236" spans="5:7" x14ac:dyDescent="0.2">
      <c r="F236" s="65" t="s">
        <v>41</v>
      </c>
      <c r="G236" s="26" t="s">
        <v>373</v>
      </c>
    </row>
    <row r="238" spans="5:7" x14ac:dyDescent="0.2">
      <c r="E238">
        <v>347</v>
      </c>
      <c r="F238" s="25" t="s">
        <v>555</v>
      </c>
      <c r="G238" s="25" t="s">
        <v>556</v>
      </c>
    </row>
    <row r="239" spans="5:7" x14ac:dyDescent="0.2">
      <c r="F239" s="25" t="s">
        <v>281</v>
      </c>
      <c r="G239" s="25" t="s">
        <v>529</v>
      </c>
    </row>
    <row r="240" spans="5:7" x14ac:dyDescent="0.2">
      <c r="F240" s="26" t="s">
        <v>427</v>
      </c>
      <c r="G240" s="25" t="s">
        <v>557</v>
      </c>
    </row>
    <row r="241" spans="5:7" x14ac:dyDescent="0.2">
      <c r="F241" s="26" t="s">
        <v>71</v>
      </c>
      <c r="G241" s="25" t="s">
        <v>558</v>
      </c>
    </row>
    <row r="242" spans="5:7" x14ac:dyDescent="0.2">
      <c r="F242" s="65" t="s">
        <v>41</v>
      </c>
      <c r="G242" s="26" t="s">
        <v>51</v>
      </c>
    </row>
    <row r="243" spans="5:7" x14ac:dyDescent="0.2">
      <c r="F243" s="65" t="s">
        <v>41</v>
      </c>
      <c r="G243" s="26" t="s">
        <v>373</v>
      </c>
    </row>
    <row r="245" spans="5:7" x14ac:dyDescent="0.2">
      <c r="E245">
        <v>356</v>
      </c>
      <c r="F245" s="25" t="s">
        <v>555</v>
      </c>
      <c r="G245" s="25" t="s">
        <v>556</v>
      </c>
    </row>
    <row r="246" spans="5:7" x14ac:dyDescent="0.2">
      <c r="F246" s="25" t="s">
        <v>281</v>
      </c>
      <c r="G246" s="25" t="s">
        <v>529</v>
      </c>
    </row>
    <row r="247" spans="5:7" x14ac:dyDescent="0.2">
      <c r="F247" s="65" t="s">
        <v>371</v>
      </c>
      <c r="G247" s="57">
        <v>-2.78</v>
      </c>
    </row>
    <row r="248" spans="5:7" x14ac:dyDescent="0.2">
      <c r="F248" s="65" t="s">
        <v>35</v>
      </c>
      <c r="G248" s="57">
        <v>-2.52</v>
      </c>
    </row>
    <row r="249" spans="5:7" x14ac:dyDescent="0.2">
      <c r="F249" s="65" t="s">
        <v>41</v>
      </c>
      <c r="G249" s="26" t="s">
        <v>51</v>
      </c>
    </row>
    <row r="250" spans="5:7" x14ac:dyDescent="0.2">
      <c r="F250" s="65" t="s">
        <v>41</v>
      </c>
      <c r="G250" s="26" t="s">
        <v>373</v>
      </c>
    </row>
    <row r="252" spans="5:7" x14ac:dyDescent="0.2">
      <c r="E252">
        <v>357</v>
      </c>
      <c r="F252" s="25" t="s">
        <v>555</v>
      </c>
      <c r="G252" s="25" t="s">
        <v>556</v>
      </c>
    </row>
    <row r="253" spans="5:7" x14ac:dyDescent="0.2">
      <c r="F253" s="25" t="s">
        <v>281</v>
      </c>
      <c r="G253" s="25" t="s">
        <v>529</v>
      </c>
    </row>
    <row r="254" spans="5:7" x14ac:dyDescent="0.2">
      <c r="F254" s="65" t="s">
        <v>371</v>
      </c>
      <c r="G254" s="57">
        <v>-2.78</v>
      </c>
    </row>
    <row r="255" spans="5:7" x14ac:dyDescent="0.2">
      <c r="F255" s="26" t="s">
        <v>71</v>
      </c>
      <c r="G255" s="25" t="s">
        <v>558</v>
      </c>
    </row>
    <row r="256" spans="5:7" x14ac:dyDescent="0.2">
      <c r="F256" s="65" t="s">
        <v>41</v>
      </c>
      <c r="G256" s="26" t="s">
        <v>51</v>
      </c>
    </row>
    <row r="257" spans="5:7" x14ac:dyDescent="0.2">
      <c r="F257" s="65" t="s">
        <v>41</v>
      </c>
      <c r="G257" s="26" t="s">
        <v>373</v>
      </c>
    </row>
    <row r="259" spans="5:7" x14ac:dyDescent="0.2">
      <c r="E259">
        <v>367</v>
      </c>
      <c r="F259" s="25" t="s">
        <v>555</v>
      </c>
      <c r="G259" s="25" t="s">
        <v>556</v>
      </c>
    </row>
    <row r="260" spans="5:7" x14ac:dyDescent="0.2">
      <c r="F260" s="25" t="s">
        <v>281</v>
      </c>
      <c r="G260" s="25" t="s">
        <v>529</v>
      </c>
    </row>
    <row r="261" spans="5:7" x14ac:dyDescent="0.2">
      <c r="F261" s="65" t="s">
        <v>35</v>
      </c>
      <c r="G261" s="57">
        <v>-2.52</v>
      </c>
    </row>
    <row r="262" spans="5:7" x14ac:dyDescent="0.2">
      <c r="F262" s="26" t="s">
        <v>71</v>
      </c>
      <c r="G262" s="25" t="s">
        <v>558</v>
      </c>
    </row>
    <row r="263" spans="5:7" x14ac:dyDescent="0.2">
      <c r="F263" s="65" t="s">
        <v>41</v>
      </c>
      <c r="G263" s="26" t="s">
        <v>51</v>
      </c>
    </row>
    <row r="264" spans="5:7" x14ac:dyDescent="0.2">
      <c r="F264" s="65" t="s">
        <v>41</v>
      </c>
      <c r="G264" s="26" t="s">
        <v>373</v>
      </c>
    </row>
    <row r="266" spans="5:7" x14ac:dyDescent="0.2">
      <c r="E266">
        <v>456</v>
      </c>
      <c r="F266" s="25" t="s">
        <v>555</v>
      </c>
      <c r="G266" s="25" t="s">
        <v>556</v>
      </c>
    </row>
    <row r="267" spans="5:7" x14ac:dyDescent="0.2">
      <c r="F267" s="26" t="s">
        <v>427</v>
      </c>
      <c r="G267" s="25" t="s">
        <v>557</v>
      </c>
    </row>
    <row r="268" spans="5:7" x14ac:dyDescent="0.2">
      <c r="F268" s="65" t="s">
        <v>371</v>
      </c>
      <c r="G268" s="57">
        <v>-2.78</v>
      </c>
    </row>
    <row r="269" spans="5:7" x14ac:dyDescent="0.2">
      <c r="F269" s="65" t="s">
        <v>35</v>
      </c>
      <c r="G269" s="57">
        <v>-2.52</v>
      </c>
    </row>
    <row r="270" spans="5:7" x14ac:dyDescent="0.2">
      <c r="F270" s="65" t="s">
        <v>41</v>
      </c>
      <c r="G270" s="26" t="s">
        <v>51</v>
      </c>
    </row>
    <row r="271" spans="5:7" x14ac:dyDescent="0.2">
      <c r="F271" s="65" t="s">
        <v>41</v>
      </c>
      <c r="G271" s="26" t="s">
        <v>373</v>
      </c>
    </row>
    <row r="273" spans="5:9" x14ac:dyDescent="0.2">
      <c r="E273">
        <v>457</v>
      </c>
      <c r="F273" s="25" t="s">
        <v>555</v>
      </c>
      <c r="G273" s="25" t="s">
        <v>556</v>
      </c>
    </row>
    <row r="274" spans="5:9" x14ac:dyDescent="0.2">
      <c r="F274" s="26" t="s">
        <v>427</v>
      </c>
      <c r="G274" s="25" t="s">
        <v>557</v>
      </c>
    </row>
    <row r="275" spans="5:9" x14ac:dyDescent="0.2">
      <c r="F275" s="65" t="s">
        <v>371</v>
      </c>
      <c r="G275" s="57">
        <v>-2.78</v>
      </c>
    </row>
    <row r="276" spans="5:9" x14ac:dyDescent="0.2">
      <c r="F276" s="26" t="s">
        <v>71</v>
      </c>
      <c r="G276" s="25" t="s">
        <v>558</v>
      </c>
    </row>
    <row r="277" spans="5:9" x14ac:dyDescent="0.2">
      <c r="F277" s="65" t="s">
        <v>41</v>
      </c>
      <c r="G277" s="26" t="s">
        <v>51</v>
      </c>
    </row>
    <row r="278" spans="5:9" x14ac:dyDescent="0.2">
      <c r="F278" s="65" t="s">
        <v>41</v>
      </c>
      <c r="G278" s="26" t="s">
        <v>373</v>
      </c>
    </row>
    <row r="280" spans="5:9" x14ac:dyDescent="0.2">
      <c r="E280">
        <v>467</v>
      </c>
      <c r="F280" s="25" t="s">
        <v>555</v>
      </c>
      <c r="G280" s="25" t="s">
        <v>556</v>
      </c>
    </row>
    <row r="281" spans="5:9" x14ac:dyDescent="0.2">
      <c r="F281" s="26" t="s">
        <v>427</v>
      </c>
      <c r="G281" s="25" t="s">
        <v>557</v>
      </c>
    </row>
    <row r="282" spans="5:9" x14ac:dyDescent="0.2">
      <c r="F282" s="65" t="s">
        <v>35</v>
      </c>
      <c r="G282" s="57">
        <v>-2.52</v>
      </c>
    </row>
    <row r="283" spans="5:9" x14ac:dyDescent="0.2">
      <c r="F283" s="26" t="s">
        <v>71</v>
      </c>
      <c r="G283" s="25" t="s">
        <v>558</v>
      </c>
    </row>
    <row r="284" spans="5:9" x14ac:dyDescent="0.2">
      <c r="F284" s="65" t="s">
        <v>41</v>
      </c>
      <c r="G284" s="26" t="s">
        <v>51</v>
      </c>
    </row>
    <row r="285" spans="5:9" x14ac:dyDescent="0.2">
      <c r="F285" s="65" t="s">
        <v>41</v>
      </c>
      <c r="G285" s="26" t="s">
        <v>373</v>
      </c>
    </row>
    <row r="287" spans="5:9" x14ac:dyDescent="0.2">
      <c r="E287">
        <v>567</v>
      </c>
      <c r="F287" s="25" t="s">
        <v>555</v>
      </c>
      <c r="G287" s="25" t="s">
        <v>556</v>
      </c>
      <c r="H287" s="210" t="s">
        <v>498</v>
      </c>
      <c r="I287" s="238"/>
    </row>
    <row r="288" spans="5:9" x14ac:dyDescent="0.2">
      <c r="F288" s="65" t="s">
        <v>371</v>
      </c>
      <c r="G288" s="57">
        <v>-2.78</v>
      </c>
      <c r="H288" s="210"/>
      <c r="I288" s="238"/>
    </row>
    <row r="289" spans="6:9" x14ac:dyDescent="0.2">
      <c r="F289" s="65" t="s">
        <v>35</v>
      </c>
      <c r="G289" s="57">
        <v>-2.52</v>
      </c>
      <c r="H289" s="210"/>
      <c r="I289" s="238"/>
    </row>
    <row r="290" spans="6:9" x14ac:dyDescent="0.2">
      <c r="F290" s="26" t="s">
        <v>71</v>
      </c>
      <c r="G290" s="25" t="s">
        <v>558</v>
      </c>
      <c r="H290" s="210"/>
      <c r="I290" s="238"/>
    </row>
    <row r="291" spans="6:9" x14ac:dyDescent="0.2">
      <c r="F291" s="65" t="s">
        <v>41</v>
      </c>
      <c r="G291" s="26" t="s">
        <v>51</v>
      </c>
    </row>
    <row r="292" spans="6:9" x14ac:dyDescent="0.2">
      <c r="F292" s="65" t="s">
        <v>41</v>
      </c>
      <c r="G292" s="26" t="s">
        <v>373</v>
      </c>
    </row>
  </sheetData>
  <mergeCells count="22">
    <mergeCell ref="H287:I290"/>
    <mergeCell ref="F19:F21"/>
    <mergeCell ref="F25:F27"/>
    <mergeCell ref="F37:F39"/>
    <mergeCell ref="A21:A23"/>
    <mergeCell ref="H62:I65"/>
    <mergeCell ref="H84:I87"/>
    <mergeCell ref="H168:I171"/>
    <mergeCell ref="F22:F24"/>
    <mergeCell ref="F28:F30"/>
    <mergeCell ref="F34:F36"/>
    <mergeCell ref="F43:F45"/>
    <mergeCell ref="F31:F33"/>
    <mergeCell ref="F40:F42"/>
    <mergeCell ref="F16:F18"/>
    <mergeCell ref="A18:A20"/>
    <mergeCell ref="A9:C9"/>
    <mergeCell ref="F9:H9"/>
    <mergeCell ref="F10:H10"/>
    <mergeCell ref="A12:A14"/>
    <mergeCell ref="F12:F14"/>
    <mergeCell ref="A15:A17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28"/>
  <sheetViews>
    <sheetView topLeftCell="F1" workbookViewId="0">
      <selection activeCell="G21" sqref="G21:V28"/>
    </sheetView>
  </sheetViews>
  <sheetFormatPr defaultRowHeight="12.75" x14ac:dyDescent="0.2"/>
  <sheetData>
    <row r="2" spans="1:43" x14ac:dyDescent="0.2">
      <c r="A2" s="9"/>
      <c r="B2" s="48">
        <v>8.3149999999999995</v>
      </c>
      <c r="C2" s="15" t="s">
        <v>163</v>
      </c>
      <c r="D2" s="48">
        <v>25.04</v>
      </c>
      <c r="E2" s="12" t="s">
        <v>164</v>
      </c>
      <c r="F2" s="12" t="s">
        <v>165</v>
      </c>
      <c r="G2" s="12" t="s">
        <v>108</v>
      </c>
      <c r="H2" s="12" t="s">
        <v>166</v>
      </c>
      <c r="I2" s="58">
        <v>66.881900000000002</v>
      </c>
      <c r="J2" s="12" t="s">
        <v>167</v>
      </c>
    </row>
    <row r="3" spans="1:43" x14ac:dyDescent="0.2">
      <c r="A3" s="72" t="s">
        <v>0</v>
      </c>
      <c r="B3" s="34">
        <f>58.315/B2</f>
        <v>7.0132291040288637</v>
      </c>
      <c r="C3" s="34">
        <f t="shared" ref="C3:J3" si="0">58.315/C2</f>
        <v>3.4882816705947093</v>
      </c>
      <c r="D3" s="34">
        <f t="shared" si="0"/>
        <v>2.3288738019169331</v>
      </c>
      <c r="E3" s="34">
        <f t="shared" si="0"/>
        <v>1.7523957773016441</v>
      </c>
      <c r="F3" s="34">
        <f t="shared" si="0"/>
        <v>1.3963183074174996</v>
      </c>
      <c r="G3" s="34">
        <f t="shared" si="0"/>
        <v>1.1662999999999999</v>
      </c>
      <c r="H3" s="34">
        <f t="shared" si="0"/>
        <v>1</v>
      </c>
      <c r="I3" s="34">
        <f t="shared" si="0"/>
        <v>0.87191003844089354</v>
      </c>
      <c r="J3" s="34">
        <f t="shared" si="0"/>
        <v>0.77549739417449393</v>
      </c>
    </row>
    <row r="4" spans="1:43" x14ac:dyDescent="0.2">
      <c r="A4" s="72" t="s">
        <v>1</v>
      </c>
      <c r="B4" s="73"/>
      <c r="C4" s="43">
        <f t="shared" ref="C4:J4" si="1">B3/C3</f>
        <v>2.0105111244738429</v>
      </c>
      <c r="D4" s="73">
        <f t="shared" si="1"/>
        <v>1.4978405732948901</v>
      </c>
      <c r="E4" s="22">
        <f t="shared" si="1"/>
        <v>1.3289656549520767</v>
      </c>
      <c r="F4" s="22">
        <f t="shared" si="1"/>
        <v>1.2550116746250446</v>
      </c>
      <c r="G4" s="22">
        <f t="shared" si="1"/>
        <v>1.1972205328110261</v>
      </c>
      <c r="H4" s="22">
        <f t="shared" si="1"/>
        <v>1.1662999999999999</v>
      </c>
      <c r="I4" s="22">
        <f t="shared" si="1"/>
        <v>1.1469073137271715</v>
      </c>
      <c r="J4" s="22">
        <f t="shared" si="1"/>
        <v>1.1243236211889913</v>
      </c>
      <c r="L4" t="s">
        <v>540</v>
      </c>
      <c r="M4" s="89">
        <f>B3/J3</f>
        <v>9.043523752254961</v>
      </c>
    </row>
    <row r="5" spans="1:43" x14ac:dyDescent="0.2">
      <c r="A5" s="9"/>
      <c r="B5" s="50">
        <f>100/B3</f>
        <v>14.258767041070051</v>
      </c>
      <c r="C5" s="8">
        <f t="shared" ref="C5:J5" si="2">100/C3</f>
        <v>28.667409757352313</v>
      </c>
      <c r="D5" s="50">
        <f t="shared" si="2"/>
        <v>42.939209465832114</v>
      </c>
      <c r="E5" s="7">
        <f t="shared" si="2"/>
        <v>57.06473463088399</v>
      </c>
      <c r="F5" s="7">
        <f t="shared" si="2"/>
        <v>71.616908171139499</v>
      </c>
      <c r="G5" s="7">
        <f t="shared" si="2"/>
        <v>85.741232958929956</v>
      </c>
      <c r="H5" s="7">
        <f t="shared" si="2"/>
        <v>100</v>
      </c>
      <c r="I5" s="7">
        <f t="shared" si="2"/>
        <v>114.69073137271714</v>
      </c>
      <c r="J5" s="7">
        <f t="shared" si="2"/>
        <v>128.94949841378718</v>
      </c>
    </row>
    <row r="6" spans="1:43" x14ac:dyDescent="0.2">
      <c r="B6">
        <f>1/B3</f>
        <v>0.1425876704107005</v>
      </c>
      <c r="C6">
        <f t="shared" ref="C6:J6" si="3">1/C3</f>
        <v>0.28667409757352313</v>
      </c>
      <c r="D6">
        <f t="shared" si="3"/>
        <v>0.42939209465832118</v>
      </c>
      <c r="E6">
        <f t="shared" si="3"/>
        <v>0.57064734630883995</v>
      </c>
      <c r="F6">
        <f t="shared" si="3"/>
        <v>0.71616908171139493</v>
      </c>
      <c r="G6">
        <f t="shared" si="3"/>
        <v>0.85741232958929958</v>
      </c>
      <c r="H6">
        <f t="shared" si="3"/>
        <v>1</v>
      </c>
      <c r="I6">
        <f t="shared" si="3"/>
        <v>1.1469073137271715</v>
      </c>
      <c r="J6">
        <f t="shared" si="3"/>
        <v>1.2894949841378718</v>
      </c>
    </row>
    <row r="7" spans="1:43" x14ac:dyDescent="0.2">
      <c r="A7" s="188" t="s">
        <v>60</v>
      </c>
      <c r="B7" s="188"/>
      <c r="C7" s="188"/>
      <c r="D7" s="52"/>
      <c r="E7" s="189" t="s">
        <v>97</v>
      </c>
      <c r="F7" s="189"/>
      <c r="G7" s="189"/>
      <c r="I7" s="189" t="s">
        <v>98</v>
      </c>
      <c r="J7" s="189"/>
      <c r="K7" s="189"/>
      <c r="M7" s="189" t="s">
        <v>99</v>
      </c>
      <c r="N7" s="189"/>
      <c r="O7" s="189"/>
      <c r="Q7" s="189" t="s">
        <v>100</v>
      </c>
      <c r="R7" s="189"/>
      <c r="S7" s="189"/>
      <c r="U7" s="189" t="s">
        <v>101</v>
      </c>
      <c r="V7" s="189"/>
      <c r="W7" s="189"/>
      <c r="Y7" s="189" t="s">
        <v>102</v>
      </c>
      <c r="Z7" s="189"/>
      <c r="AA7" s="189"/>
      <c r="AC7" s="189" t="s">
        <v>235</v>
      </c>
      <c r="AD7" s="189"/>
      <c r="AE7" s="189"/>
      <c r="AG7" s="189" t="s">
        <v>241</v>
      </c>
      <c r="AH7" s="189"/>
      <c r="AI7" s="189"/>
      <c r="AK7" s="189" t="s">
        <v>247</v>
      </c>
      <c r="AL7" s="189"/>
      <c r="AM7" s="189"/>
      <c r="AO7" s="189" t="s">
        <v>253</v>
      </c>
      <c r="AP7" s="189"/>
      <c r="AQ7" s="189"/>
    </row>
    <row r="8" spans="1:43" x14ac:dyDescent="0.2">
      <c r="B8" s="51"/>
      <c r="C8" s="2"/>
      <c r="D8" s="52"/>
      <c r="E8" s="185" t="s">
        <v>564</v>
      </c>
      <c r="F8" s="185"/>
      <c r="G8" s="185"/>
      <c r="I8" s="185" t="s">
        <v>568</v>
      </c>
      <c r="J8" s="185"/>
      <c r="K8" s="185"/>
      <c r="M8" s="185" t="s">
        <v>569</v>
      </c>
      <c r="N8" s="185"/>
      <c r="O8" s="185"/>
      <c r="Q8" s="185" t="s">
        <v>572</v>
      </c>
      <c r="R8" s="185"/>
      <c r="S8" s="185"/>
      <c r="U8" s="185" t="s">
        <v>574</v>
      </c>
      <c r="V8" s="185"/>
      <c r="W8" s="185"/>
      <c r="Y8" s="185" t="s">
        <v>578</v>
      </c>
      <c r="Z8" s="185"/>
      <c r="AA8" s="185"/>
      <c r="AC8" s="185" t="s">
        <v>579</v>
      </c>
      <c r="AD8" s="185"/>
      <c r="AE8" s="185"/>
      <c r="AG8" s="185" t="s">
        <v>582</v>
      </c>
      <c r="AH8" s="185"/>
      <c r="AI8" s="185"/>
      <c r="AK8" s="185" t="s">
        <v>743</v>
      </c>
      <c r="AL8" s="185"/>
      <c r="AM8" s="185"/>
      <c r="AO8" s="185" t="s">
        <v>545</v>
      </c>
      <c r="AP8" s="185"/>
      <c r="AQ8" s="185"/>
    </row>
    <row r="9" spans="1:43" x14ac:dyDescent="0.2">
      <c r="A9" s="7" t="s">
        <v>2</v>
      </c>
      <c r="B9" s="8" t="s">
        <v>3</v>
      </c>
      <c r="C9" s="20" t="s">
        <v>0</v>
      </c>
      <c r="D9" s="52"/>
      <c r="E9" s="7" t="s">
        <v>2</v>
      </c>
      <c r="F9" s="7" t="s">
        <v>3</v>
      </c>
      <c r="G9" s="21" t="s">
        <v>0</v>
      </c>
      <c r="I9" s="7" t="s">
        <v>2</v>
      </c>
      <c r="J9" s="7" t="s">
        <v>3</v>
      </c>
      <c r="K9" s="21" t="s">
        <v>0</v>
      </c>
      <c r="M9" s="7" t="s">
        <v>2</v>
      </c>
      <c r="N9" s="7" t="s">
        <v>3</v>
      </c>
      <c r="O9" s="21" t="s">
        <v>0</v>
      </c>
      <c r="Q9" s="7" t="s">
        <v>2</v>
      </c>
      <c r="R9" s="7" t="s">
        <v>3</v>
      </c>
      <c r="S9" s="21" t="s">
        <v>0</v>
      </c>
      <c r="U9" s="7" t="s">
        <v>2</v>
      </c>
      <c r="V9" s="7" t="s">
        <v>3</v>
      </c>
      <c r="W9" s="21" t="s">
        <v>0</v>
      </c>
      <c r="Y9" s="7" t="s">
        <v>2</v>
      </c>
      <c r="Z9" s="7" t="s">
        <v>3</v>
      </c>
      <c r="AA9" s="21" t="s">
        <v>0</v>
      </c>
      <c r="AC9" s="7" t="s">
        <v>2</v>
      </c>
      <c r="AD9" s="7" t="s">
        <v>3</v>
      </c>
      <c r="AE9" s="21" t="s">
        <v>0</v>
      </c>
      <c r="AG9" s="7"/>
      <c r="AH9" s="7"/>
      <c r="AI9" s="21"/>
      <c r="AK9" s="7" t="s">
        <v>2</v>
      </c>
      <c r="AL9" s="7" t="s">
        <v>3</v>
      </c>
      <c r="AM9" s="21" t="s">
        <v>0</v>
      </c>
      <c r="AO9" s="7" t="s">
        <v>2</v>
      </c>
      <c r="AP9" s="7" t="s">
        <v>3</v>
      </c>
      <c r="AQ9" s="21" t="s">
        <v>0</v>
      </c>
    </row>
    <row r="10" spans="1:43" x14ac:dyDescent="0.2">
      <c r="A10" s="187" t="s">
        <v>10</v>
      </c>
      <c r="B10" s="25" t="s">
        <v>10</v>
      </c>
      <c r="C10" s="25" t="s">
        <v>187</v>
      </c>
      <c r="D10" s="53"/>
      <c r="E10" s="187" t="s">
        <v>565</v>
      </c>
      <c r="F10" s="29" t="s">
        <v>566</v>
      </c>
      <c r="G10" s="29" t="s">
        <v>567</v>
      </c>
      <c r="H10" s="39"/>
      <c r="I10" s="187" t="s">
        <v>565</v>
      </c>
      <c r="J10" s="29" t="s">
        <v>566</v>
      </c>
      <c r="K10" s="18" t="s">
        <v>6</v>
      </c>
      <c r="M10" s="187" t="s">
        <v>565</v>
      </c>
      <c r="N10" s="29" t="s">
        <v>570</v>
      </c>
      <c r="O10" s="18" t="s">
        <v>6</v>
      </c>
      <c r="Q10" s="187" t="s">
        <v>280</v>
      </c>
      <c r="R10" s="26" t="s">
        <v>374</v>
      </c>
      <c r="S10" s="25" t="s">
        <v>573</v>
      </c>
      <c r="U10" s="187" t="s">
        <v>280</v>
      </c>
      <c r="V10" s="29" t="s">
        <v>296</v>
      </c>
      <c r="W10" s="18" t="s">
        <v>575</v>
      </c>
      <c r="Y10" s="187" t="s">
        <v>280</v>
      </c>
      <c r="Z10" s="29" t="s">
        <v>296</v>
      </c>
      <c r="AA10" s="18" t="s">
        <v>576</v>
      </c>
      <c r="AC10" s="187" t="s">
        <v>72</v>
      </c>
      <c r="AD10" s="29" t="s">
        <v>71</v>
      </c>
      <c r="AE10" s="18" t="s">
        <v>580</v>
      </c>
      <c r="AG10" s="187" t="s">
        <v>70</v>
      </c>
      <c r="AH10" s="26" t="s">
        <v>203</v>
      </c>
      <c r="AI10" s="25" t="s">
        <v>583</v>
      </c>
      <c r="AK10" s="187" t="s">
        <v>110</v>
      </c>
      <c r="AL10" s="29" t="s">
        <v>110</v>
      </c>
      <c r="AM10" s="18" t="s">
        <v>429</v>
      </c>
      <c r="AO10" s="187" t="s">
        <v>110</v>
      </c>
      <c r="AP10" s="26" t="s">
        <v>110</v>
      </c>
      <c r="AQ10" s="25" t="s">
        <v>209</v>
      </c>
    </row>
    <row r="11" spans="1:43" x14ac:dyDescent="0.2">
      <c r="A11" s="187"/>
      <c r="B11" s="5"/>
      <c r="C11" s="5"/>
      <c r="D11" s="53"/>
      <c r="E11" s="187"/>
      <c r="F11" s="4"/>
      <c r="G11" s="4"/>
      <c r="H11" s="39"/>
      <c r="I11" s="187"/>
      <c r="J11" s="4"/>
      <c r="K11" s="4"/>
      <c r="M11" s="187"/>
      <c r="N11" s="4"/>
      <c r="O11" s="4"/>
      <c r="Q11" s="187"/>
      <c r="R11" s="4"/>
      <c r="S11" s="4"/>
      <c r="U11" s="187"/>
      <c r="V11" s="4"/>
      <c r="W11" s="4"/>
      <c r="Y11" s="187"/>
      <c r="Z11" s="4"/>
      <c r="AA11" s="4"/>
      <c r="AC11" s="187"/>
      <c r="AD11" s="4"/>
      <c r="AE11" s="4"/>
      <c r="AG11" s="187"/>
      <c r="AH11" s="4"/>
      <c r="AI11" s="4"/>
      <c r="AK11" s="187"/>
      <c r="AL11" s="4"/>
      <c r="AM11" s="4"/>
      <c r="AO11" s="187"/>
      <c r="AP11" s="4"/>
      <c r="AQ11" s="4"/>
    </row>
    <row r="12" spans="1:43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  <c r="M12" s="187"/>
      <c r="N12" s="4"/>
      <c r="O12" s="4"/>
      <c r="Q12" s="187"/>
      <c r="R12" s="4"/>
      <c r="S12" s="4"/>
      <c r="U12" s="187"/>
      <c r="V12" s="4"/>
      <c r="W12" s="4"/>
      <c r="Y12" s="187"/>
      <c r="Z12" s="4"/>
      <c r="AA12" s="4"/>
      <c r="AC12" s="187"/>
      <c r="AD12" s="4"/>
      <c r="AE12" s="4"/>
      <c r="AG12" s="187"/>
      <c r="AH12" s="4"/>
      <c r="AI12" s="4"/>
      <c r="AK12" s="187"/>
      <c r="AL12" s="4"/>
      <c r="AM12" s="4"/>
      <c r="AO12" s="187"/>
      <c r="AP12" s="4"/>
      <c r="AQ12" s="4"/>
    </row>
    <row r="13" spans="1:43" x14ac:dyDescent="0.2">
      <c r="A13" s="187" t="s">
        <v>159</v>
      </c>
      <c r="B13" s="25" t="s">
        <v>159</v>
      </c>
      <c r="C13" s="25" t="s">
        <v>563</v>
      </c>
      <c r="D13" s="53"/>
      <c r="E13" s="223">
        <v>459</v>
      </c>
      <c r="F13" s="91">
        <v>495</v>
      </c>
      <c r="G13" s="18" t="s">
        <v>455</v>
      </c>
      <c r="I13" s="187" t="s">
        <v>69</v>
      </c>
      <c r="J13" s="25" t="s">
        <v>427</v>
      </c>
      <c r="K13" s="25" t="s">
        <v>209</v>
      </c>
      <c r="M13" s="187" t="s">
        <v>54</v>
      </c>
      <c r="N13" s="18" t="s">
        <v>433</v>
      </c>
      <c r="O13" s="18" t="s">
        <v>571</v>
      </c>
      <c r="Q13" s="187" t="s">
        <v>385</v>
      </c>
      <c r="R13" s="25" t="s">
        <v>389</v>
      </c>
      <c r="S13" s="25" t="s">
        <v>209</v>
      </c>
      <c r="U13" s="187" t="s">
        <v>70</v>
      </c>
      <c r="V13" s="18" t="s">
        <v>245</v>
      </c>
      <c r="W13" s="18" t="s">
        <v>567</v>
      </c>
      <c r="Y13" s="187" t="s">
        <v>35</v>
      </c>
      <c r="Z13" s="25" t="s">
        <v>39</v>
      </c>
      <c r="AA13" s="25" t="s">
        <v>577</v>
      </c>
      <c r="AG13" s="187" t="s">
        <v>54</v>
      </c>
      <c r="AH13" s="18" t="s">
        <v>528</v>
      </c>
      <c r="AI13" s="18" t="s">
        <v>584</v>
      </c>
      <c r="AK13" s="187" t="s">
        <v>69</v>
      </c>
      <c r="AL13" s="18" t="s">
        <v>308</v>
      </c>
      <c r="AM13" s="18" t="s">
        <v>179</v>
      </c>
      <c r="AO13" s="187" t="s">
        <v>54</v>
      </c>
      <c r="AP13" s="25" t="s">
        <v>55</v>
      </c>
      <c r="AQ13" s="25" t="s">
        <v>187</v>
      </c>
    </row>
    <row r="14" spans="1:43" x14ac:dyDescent="0.2">
      <c r="A14" s="187"/>
      <c r="B14" s="5"/>
      <c r="C14" s="5"/>
      <c r="D14" s="53"/>
      <c r="E14" s="224"/>
      <c r="F14" s="60"/>
      <c r="G14" s="60"/>
      <c r="I14" s="187"/>
      <c r="J14" s="4"/>
      <c r="K14" s="4"/>
      <c r="M14" s="187"/>
      <c r="N14" s="4"/>
      <c r="O14" s="4"/>
      <c r="Q14" s="187"/>
      <c r="R14" s="4"/>
      <c r="S14" s="4"/>
      <c r="U14" s="187"/>
      <c r="V14" s="4"/>
      <c r="W14" s="4"/>
      <c r="Y14" s="187"/>
      <c r="Z14" s="4"/>
      <c r="AA14" s="4"/>
      <c r="AC14" s="187" t="s">
        <v>10</v>
      </c>
      <c r="AD14" s="25" t="s">
        <v>10</v>
      </c>
      <c r="AE14" s="25" t="s">
        <v>187</v>
      </c>
      <c r="AG14" s="187"/>
      <c r="AH14" s="4"/>
      <c r="AI14" s="4"/>
      <c r="AK14" s="187"/>
      <c r="AL14" s="4"/>
      <c r="AM14" s="4"/>
      <c r="AO14" s="187"/>
      <c r="AP14" s="4"/>
      <c r="AQ14" s="4"/>
    </row>
    <row r="15" spans="1:43" x14ac:dyDescent="0.2">
      <c r="A15" s="187"/>
      <c r="B15" s="5"/>
      <c r="C15" s="5"/>
      <c r="D15" s="53"/>
      <c r="E15" s="225"/>
      <c r="F15" s="60"/>
      <c r="G15" s="60"/>
      <c r="I15" s="187"/>
      <c r="J15" s="4"/>
      <c r="K15" s="4"/>
      <c r="M15" s="187"/>
      <c r="N15" s="4"/>
      <c r="O15" s="4"/>
      <c r="Q15" s="187"/>
      <c r="R15" s="4"/>
      <c r="S15" s="4"/>
      <c r="U15" s="187"/>
      <c r="V15" s="4"/>
      <c r="W15" s="4"/>
      <c r="Y15" s="187"/>
      <c r="Z15" s="4"/>
      <c r="AA15" s="4"/>
      <c r="AC15" s="187"/>
      <c r="AD15" s="5"/>
      <c r="AE15" s="5"/>
      <c r="AG15" s="187"/>
      <c r="AH15" s="4"/>
      <c r="AI15" s="4"/>
      <c r="AK15" s="187"/>
      <c r="AL15" s="4"/>
      <c r="AM15" s="4"/>
      <c r="AO15" s="187"/>
      <c r="AP15" s="4"/>
      <c r="AQ15" s="4"/>
    </row>
    <row r="16" spans="1:43" x14ac:dyDescent="0.2">
      <c r="A16" s="60" t="s">
        <v>41</v>
      </c>
      <c r="B16" s="5" t="s">
        <v>158</v>
      </c>
      <c r="C16" s="46"/>
      <c r="D16" s="53"/>
      <c r="AC16" s="187"/>
      <c r="AD16" s="5"/>
      <c r="AE16" s="5"/>
    </row>
    <row r="17" spans="1:31" x14ac:dyDescent="0.2">
      <c r="A17" s="60" t="s">
        <v>41</v>
      </c>
      <c r="B17" s="5" t="s">
        <v>51</v>
      </c>
      <c r="C17" s="46"/>
      <c r="D17" s="53"/>
      <c r="I17" s="46"/>
      <c r="J17" s="46"/>
      <c r="K17" s="54"/>
      <c r="AC17" s="187" t="s">
        <v>109</v>
      </c>
      <c r="AD17" s="18" t="s">
        <v>312</v>
      </c>
      <c r="AE17" s="18" t="s">
        <v>550</v>
      </c>
    </row>
    <row r="18" spans="1:31" x14ac:dyDescent="0.2">
      <c r="A18" s="44"/>
      <c r="B18" s="46"/>
      <c r="C18" s="46"/>
      <c r="D18" s="53"/>
      <c r="AC18" s="187"/>
      <c r="AD18" s="5"/>
      <c r="AE18" s="5"/>
    </row>
    <row r="19" spans="1:31" x14ac:dyDescent="0.2">
      <c r="D19" s="53"/>
      <c r="AC19" s="187"/>
      <c r="AD19" s="5"/>
      <c r="AE19" s="5"/>
    </row>
    <row r="20" spans="1:31" x14ac:dyDescent="0.2">
      <c r="D20" s="53"/>
      <c r="AC20" s="187" t="s">
        <v>279</v>
      </c>
      <c r="AD20" s="18" t="s">
        <v>291</v>
      </c>
      <c r="AE20" s="18" t="s">
        <v>557</v>
      </c>
    </row>
    <row r="21" spans="1:31" x14ac:dyDescent="0.2">
      <c r="D21" s="53"/>
      <c r="AC21" s="187"/>
      <c r="AD21" s="5"/>
      <c r="AE21" s="5"/>
    </row>
    <row r="22" spans="1:31" ht="26.25" x14ac:dyDescent="0.4">
      <c r="D22" s="53"/>
      <c r="G22" s="251" t="s">
        <v>837</v>
      </c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AC22" s="187"/>
      <c r="AD22" s="5"/>
      <c r="AE22" s="5"/>
    </row>
    <row r="23" spans="1:31" x14ac:dyDescent="0.2">
      <c r="D23" s="53"/>
      <c r="AC23" s="187" t="s">
        <v>281</v>
      </c>
      <c r="AD23" s="18" t="s">
        <v>298</v>
      </c>
      <c r="AE23" s="18" t="s">
        <v>581</v>
      </c>
    </row>
    <row r="24" spans="1:31" ht="25.5" x14ac:dyDescent="0.35">
      <c r="D24" s="53"/>
      <c r="G24" s="250" t="s">
        <v>834</v>
      </c>
      <c r="H24" s="250"/>
      <c r="I24" s="250"/>
      <c r="J24" s="250"/>
      <c r="K24" s="250"/>
      <c r="L24" s="250"/>
      <c r="M24" s="250"/>
      <c r="N24" s="250"/>
      <c r="O24" s="250"/>
      <c r="AC24" s="187"/>
      <c r="AD24" s="5"/>
      <c r="AE24" s="5"/>
    </row>
    <row r="25" spans="1:31" ht="15" customHeight="1" x14ac:dyDescent="0.35">
      <c r="D25" s="53"/>
      <c r="G25" s="138"/>
      <c r="H25" s="138"/>
      <c r="I25" s="138"/>
      <c r="J25" s="138"/>
      <c r="K25" s="138"/>
      <c r="L25" s="138"/>
      <c r="M25" s="138"/>
      <c r="N25" s="138"/>
      <c r="O25" s="138"/>
      <c r="AC25" s="187"/>
      <c r="AD25" s="5"/>
      <c r="AE25" s="5"/>
    </row>
    <row r="26" spans="1:31" ht="25.5" x14ac:dyDescent="0.35">
      <c r="D26" s="53"/>
      <c r="G26" s="250" t="s">
        <v>835</v>
      </c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AC26" s="187"/>
      <c r="AD26" s="5"/>
      <c r="AE26" s="5"/>
    </row>
    <row r="27" spans="1:31" x14ac:dyDescent="0.2">
      <c r="D27" s="53"/>
    </row>
    <row r="28" spans="1:31" ht="25.5" x14ac:dyDescent="0.35">
      <c r="D28" s="53"/>
      <c r="G28" s="250" t="s">
        <v>836</v>
      </c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</row>
  </sheetData>
  <mergeCells count="50">
    <mergeCell ref="AO7:AQ7"/>
    <mergeCell ref="AO8:AQ8"/>
    <mergeCell ref="AO10:AO12"/>
    <mergeCell ref="AO13:AO15"/>
    <mergeCell ref="AG13:AG15"/>
    <mergeCell ref="AK13:AK15"/>
    <mergeCell ref="AG7:AI7"/>
    <mergeCell ref="AG8:AI8"/>
    <mergeCell ref="AG10:AG12"/>
    <mergeCell ref="AK7:AM7"/>
    <mergeCell ref="AK8:AM8"/>
    <mergeCell ref="AK10:AK12"/>
    <mergeCell ref="Q7:S7"/>
    <mergeCell ref="Q8:S8"/>
    <mergeCell ref="Q10:Q12"/>
    <mergeCell ref="Q13:Q15"/>
    <mergeCell ref="AC23:AC26"/>
    <mergeCell ref="Y7:AA7"/>
    <mergeCell ref="Y8:AA8"/>
    <mergeCell ref="Y10:Y12"/>
    <mergeCell ref="Y13:Y15"/>
    <mergeCell ref="AC14:AC16"/>
    <mergeCell ref="AC17:AC19"/>
    <mergeCell ref="AC20:AC22"/>
    <mergeCell ref="AC7:AE7"/>
    <mergeCell ref="AC8:AE8"/>
    <mergeCell ref="AC10:AC12"/>
    <mergeCell ref="I10:I12"/>
    <mergeCell ref="A13:A15"/>
    <mergeCell ref="E13:E15"/>
    <mergeCell ref="I13:I15"/>
    <mergeCell ref="M8:O8"/>
    <mergeCell ref="M10:M12"/>
    <mergeCell ref="M13:M15"/>
    <mergeCell ref="G24:O24"/>
    <mergeCell ref="G26:V26"/>
    <mergeCell ref="G28:R28"/>
    <mergeCell ref="G22:S22"/>
    <mergeCell ref="A7:C7"/>
    <mergeCell ref="E7:G7"/>
    <mergeCell ref="I7:K7"/>
    <mergeCell ref="E8:G8"/>
    <mergeCell ref="I8:K8"/>
    <mergeCell ref="A10:A12"/>
    <mergeCell ref="U7:W7"/>
    <mergeCell ref="U8:W8"/>
    <mergeCell ref="U10:U12"/>
    <mergeCell ref="U13:U15"/>
    <mergeCell ref="M7:O7"/>
    <mergeCell ref="E10:E12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32"/>
  <sheetViews>
    <sheetView topLeftCell="C1" workbookViewId="0">
      <selection activeCell="J36" sqref="J36"/>
    </sheetView>
  </sheetViews>
  <sheetFormatPr defaultRowHeight="12.75" x14ac:dyDescent="0.2"/>
  <sheetData>
    <row r="3" spans="1:51" x14ac:dyDescent="0.2">
      <c r="A3" s="9"/>
      <c r="B3" s="48">
        <v>8.3149999999999995</v>
      </c>
      <c r="C3" s="15" t="s">
        <v>163</v>
      </c>
      <c r="D3" s="48">
        <v>25.04</v>
      </c>
      <c r="E3" s="12" t="s">
        <v>164</v>
      </c>
      <c r="F3" s="12" t="s">
        <v>165</v>
      </c>
      <c r="G3" s="12" t="s">
        <v>108</v>
      </c>
      <c r="H3" s="12" t="s">
        <v>166</v>
      </c>
      <c r="I3" s="58">
        <v>66.881900000000002</v>
      </c>
      <c r="J3" s="12" t="s">
        <v>167</v>
      </c>
    </row>
    <row r="4" spans="1:51" x14ac:dyDescent="0.2">
      <c r="A4" s="72" t="s">
        <v>0</v>
      </c>
      <c r="B4" s="34">
        <f>75.1969/B3</f>
        <v>9.043523752254961</v>
      </c>
      <c r="C4" s="34">
        <f t="shared" ref="C4:J4" si="0">75.1969/C3</f>
        <v>4.4981217174919541</v>
      </c>
      <c r="D4" s="34">
        <f t="shared" si="0"/>
        <v>3.0030710862619809</v>
      </c>
      <c r="E4" s="34">
        <f t="shared" si="0"/>
        <v>2.2597055650548574</v>
      </c>
      <c r="F4" s="34">
        <f t="shared" si="0"/>
        <v>1.8005454536747487</v>
      </c>
      <c r="G4" s="34">
        <f t="shared" si="0"/>
        <v>1.503938</v>
      </c>
      <c r="H4" s="34">
        <f t="shared" si="0"/>
        <v>1.289494984137872</v>
      </c>
      <c r="I4" s="34">
        <f t="shared" si="0"/>
        <v>1.1243236211889913</v>
      </c>
      <c r="J4" s="34">
        <f t="shared" si="0"/>
        <v>1</v>
      </c>
    </row>
    <row r="5" spans="1:51" x14ac:dyDescent="0.2">
      <c r="A5" s="72" t="s">
        <v>1</v>
      </c>
      <c r="B5" s="73"/>
      <c r="C5" s="43">
        <f t="shared" ref="C5:J5" si="1">B4/C4</f>
        <v>2.0105111244738425</v>
      </c>
      <c r="D5" s="73">
        <f t="shared" si="1"/>
        <v>1.4978405732948901</v>
      </c>
      <c r="E5" s="22">
        <f t="shared" si="1"/>
        <v>1.3289656549520765</v>
      </c>
      <c r="F5" s="22">
        <f t="shared" si="1"/>
        <v>1.2550116746250448</v>
      </c>
      <c r="G5" s="22">
        <f t="shared" si="1"/>
        <v>1.1972205328110259</v>
      </c>
      <c r="H5" s="22">
        <f t="shared" si="1"/>
        <v>1.1662999999999999</v>
      </c>
      <c r="I5" s="22">
        <f t="shared" si="1"/>
        <v>1.1469073137271715</v>
      </c>
      <c r="J5" s="22">
        <f t="shared" si="1"/>
        <v>1.1243236211889913</v>
      </c>
      <c r="L5" t="s">
        <v>540</v>
      </c>
      <c r="M5" s="89">
        <f>B4/J4</f>
        <v>9.043523752254961</v>
      </c>
    </row>
    <row r="6" spans="1:51" x14ac:dyDescent="0.2">
      <c r="A6" s="9"/>
      <c r="B6" s="50">
        <f>100/B4</f>
        <v>11.057636684490983</v>
      </c>
      <c r="C6" s="8">
        <f t="shared" ref="C6:J6" si="2">100/C4</f>
        <v>22.231501564559178</v>
      </c>
      <c r="D6" s="50">
        <f t="shared" si="2"/>
        <v>33.299245048665568</v>
      </c>
      <c r="E6" s="7">
        <f t="shared" si="2"/>
        <v>44.253553005509531</v>
      </c>
      <c r="F6" s="7">
        <f t="shared" si="2"/>
        <v>55.538725665552704</v>
      </c>
      <c r="G6" s="7">
        <f t="shared" si="2"/>
        <v>66.492102732958401</v>
      </c>
      <c r="H6" s="7">
        <f t="shared" si="2"/>
        <v>77.549739417449388</v>
      </c>
      <c r="I6" s="7">
        <f t="shared" si="2"/>
        <v>88.942363315509013</v>
      </c>
      <c r="J6" s="7">
        <f t="shared" si="2"/>
        <v>100</v>
      </c>
    </row>
    <row r="7" spans="1:51" x14ac:dyDescent="0.2">
      <c r="B7">
        <f>1/B4</f>
        <v>0.11057636684490983</v>
      </c>
      <c r="C7">
        <f t="shared" ref="C7:J7" si="3">1/C4</f>
        <v>0.22231501564559178</v>
      </c>
      <c r="D7">
        <f t="shared" si="3"/>
        <v>0.33299245048665571</v>
      </c>
      <c r="E7">
        <f t="shared" si="3"/>
        <v>0.44253553005509533</v>
      </c>
      <c r="F7">
        <f t="shared" si="3"/>
        <v>0.55538725665552702</v>
      </c>
      <c r="G7">
        <f t="shared" si="3"/>
        <v>0.66492102732958402</v>
      </c>
      <c r="H7">
        <f t="shared" si="3"/>
        <v>0.77549739417449381</v>
      </c>
      <c r="I7">
        <f t="shared" si="3"/>
        <v>0.88942363315509021</v>
      </c>
      <c r="J7">
        <f t="shared" si="3"/>
        <v>1</v>
      </c>
    </row>
    <row r="8" spans="1:51" x14ac:dyDescent="0.2">
      <c r="A8" s="188" t="s">
        <v>60</v>
      </c>
      <c r="B8" s="188"/>
      <c r="C8" s="188"/>
      <c r="D8" s="52"/>
      <c r="E8" s="189" t="s">
        <v>97</v>
      </c>
      <c r="F8" s="189"/>
      <c r="G8" s="189"/>
      <c r="I8" s="189" t="s">
        <v>98</v>
      </c>
      <c r="J8" s="189"/>
      <c r="K8" s="189"/>
      <c r="M8" s="189" t="s">
        <v>99</v>
      </c>
      <c r="N8" s="189"/>
      <c r="O8" s="189"/>
      <c r="Q8" s="189" t="s">
        <v>100</v>
      </c>
      <c r="R8" s="189"/>
      <c r="S8" s="189"/>
      <c r="U8" s="189" t="s">
        <v>101</v>
      </c>
      <c r="V8" s="189"/>
      <c r="W8" s="189"/>
      <c r="Y8" s="189" t="s">
        <v>102</v>
      </c>
      <c r="Z8" s="189"/>
      <c r="AA8" s="189"/>
      <c r="AC8" s="189" t="s">
        <v>235</v>
      </c>
      <c r="AD8" s="189"/>
      <c r="AE8" s="189"/>
      <c r="AG8" s="189" t="s">
        <v>241</v>
      </c>
      <c r="AH8" s="189"/>
      <c r="AI8" s="189"/>
      <c r="AK8" s="189" t="s">
        <v>247</v>
      </c>
      <c r="AL8" s="189"/>
      <c r="AM8" s="189"/>
      <c r="AO8" s="189" t="s">
        <v>253</v>
      </c>
      <c r="AP8" s="189"/>
      <c r="AQ8" s="189"/>
      <c r="AS8" s="189" t="s">
        <v>265</v>
      </c>
      <c r="AT8" s="189"/>
      <c r="AU8" s="189"/>
      <c r="AW8" s="189" t="s">
        <v>270</v>
      </c>
      <c r="AX8" s="189"/>
      <c r="AY8" s="189"/>
    </row>
    <row r="9" spans="1:51" x14ac:dyDescent="0.2">
      <c r="B9" s="51"/>
      <c r="C9" s="2"/>
      <c r="D9" s="52"/>
      <c r="E9" s="185" t="s">
        <v>586</v>
      </c>
      <c r="F9" s="185"/>
      <c r="G9" s="185"/>
      <c r="I9" s="185" t="s">
        <v>589</v>
      </c>
      <c r="J9" s="185"/>
      <c r="K9" s="185"/>
      <c r="M9" s="185" t="s">
        <v>592</v>
      </c>
      <c r="N9" s="185"/>
      <c r="O9" s="185"/>
      <c r="Q9" s="185" t="s">
        <v>574</v>
      </c>
      <c r="R9" s="185"/>
      <c r="S9" s="185"/>
      <c r="U9" s="185" t="s">
        <v>578</v>
      </c>
      <c r="V9" s="185"/>
      <c r="W9" s="185"/>
      <c r="Y9" s="185" t="s">
        <v>599</v>
      </c>
      <c r="Z9" s="185"/>
      <c r="AA9" s="185"/>
      <c r="AC9" s="185" t="s">
        <v>579</v>
      </c>
      <c r="AD9" s="185"/>
      <c r="AE9" s="185"/>
      <c r="AG9" s="185" t="s">
        <v>603</v>
      </c>
      <c r="AH9" s="185"/>
      <c r="AI9" s="185"/>
      <c r="AK9" s="185" t="s">
        <v>605</v>
      </c>
      <c r="AL9" s="185"/>
      <c r="AM9" s="185"/>
      <c r="AO9" s="185" t="s">
        <v>582</v>
      </c>
      <c r="AP9" s="185"/>
      <c r="AQ9" s="185"/>
      <c r="AS9" s="185" t="s">
        <v>743</v>
      </c>
      <c r="AT9" s="185"/>
      <c r="AU9" s="185"/>
      <c r="AW9" s="185" t="s">
        <v>545</v>
      </c>
      <c r="AX9" s="185"/>
      <c r="AY9" s="185"/>
    </row>
    <row r="10" spans="1:51" x14ac:dyDescent="0.2">
      <c r="A10" s="7" t="s">
        <v>2</v>
      </c>
      <c r="B10" s="8" t="s">
        <v>3</v>
      </c>
      <c r="C10" s="20" t="s">
        <v>0</v>
      </c>
      <c r="D10" s="52"/>
      <c r="E10" s="7" t="s">
        <v>2</v>
      </c>
      <c r="F10" s="7" t="s">
        <v>3</v>
      </c>
      <c r="G10" s="21" t="s">
        <v>0</v>
      </c>
      <c r="I10" s="7" t="s">
        <v>2</v>
      </c>
      <c r="J10" s="7" t="s">
        <v>3</v>
      </c>
      <c r="K10" s="21" t="s">
        <v>0</v>
      </c>
      <c r="M10" s="7" t="s">
        <v>2</v>
      </c>
      <c r="N10" s="7" t="s">
        <v>3</v>
      </c>
      <c r="O10" s="21" t="s">
        <v>0</v>
      </c>
      <c r="Q10" s="7" t="s">
        <v>2</v>
      </c>
      <c r="R10" s="7" t="s">
        <v>3</v>
      </c>
      <c r="S10" s="21" t="s">
        <v>0</v>
      </c>
      <c r="U10" s="7" t="s">
        <v>2</v>
      </c>
      <c r="V10" s="7" t="s">
        <v>3</v>
      </c>
      <c r="W10" s="21" t="s">
        <v>0</v>
      </c>
      <c r="Y10" s="7" t="s">
        <v>2</v>
      </c>
      <c r="Z10" s="7" t="s">
        <v>3</v>
      </c>
      <c r="AA10" s="21" t="s">
        <v>0</v>
      </c>
      <c r="AC10" s="7" t="s">
        <v>2</v>
      </c>
      <c r="AD10" s="7" t="s">
        <v>3</v>
      </c>
      <c r="AE10" s="21" t="s">
        <v>0</v>
      </c>
      <c r="AG10" s="7" t="s">
        <v>2</v>
      </c>
      <c r="AH10" s="7" t="s">
        <v>3</v>
      </c>
      <c r="AI10" s="21" t="s">
        <v>0</v>
      </c>
      <c r="AK10" s="7" t="s">
        <v>2</v>
      </c>
      <c r="AL10" s="7" t="s">
        <v>3</v>
      </c>
      <c r="AM10" s="21" t="s">
        <v>0</v>
      </c>
      <c r="AO10" s="7" t="s">
        <v>2</v>
      </c>
      <c r="AP10" s="7" t="s">
        <v>3</v>
      </c>
      <c r="AQ10" s="21" t="s">
        <v>0</v>
      </c>
      <c r="AS10" s="7" t="s">
        <v>2</v>
      </c>
      <c r="AT10" s="7" t="s">
        <v>3</v>
      </c>
      <c r="AU10" s="21" t="s">
        <v>0</v>
      </c>
      <c r="AW10" s="7" t="s">
        <v>2</v>
      </c>
      <c r="AX10" s="7" t="s">
        <v>3</v>
      </c>
      <c r="AY10" s="21" t="s">
        <v>0</v>
      </c>
    </row>
    <row r="11" spans="1:51" x14ac:dyDescent="0.2">
      <c r="A11" s="187" t="s">
        <v>10</v>
      </c>
      <c r="B11" s="25" t="s">
        <v>182</v>
      </c>
      <c r="C11" s="25" t="s">
        <v>585</v>
      </c>
      <c r="D11" s="53"/>
      <c r="E11" s="187" t="s">
        <v>565</v>
      </c>
      <c r="F11" s="29" t="s">
        <v>565</v>
      </c>
      <c r="G11" s="29" t="s">
        <v>587</v>
      </c>
      <c r="H11" s="39"/>
      <c r="I11" s="187" t="s">
        <v>565</v>
      </c>
      <c r="J11" s="29" t="s">
        <v>566</v>
      </c>
      <c r="K11" s="18" t="s">
        <v>590</v>
      </c>
      <c r="M11" s="187" t="s">
        <v>565</v>
      </c>
      <c r="N11" s="29" t="s">
        <v>593</v>
      </c>
      <c r="O11" s="18" t="s">
        <v>520</v>
      </c>
      <c r="Q11" s="187" t="s">
        <v>280</v>
      </c>
      <c r="R11" s="29" t="s">
        <v>374</v>
      </c>
      <c r="S11" s="18" t="s">
        <v>575</v>
      </c>
      <c r="U11" s="187" t="s">
        <v>280</v>
      </c>
      <c r="V11" s="29" t="s">
        <v>374</v>
      </c>
      <c r="W11" s="18" t="s">
        <v>597</v>
      </c>
      <c r="Y11" s="187" t="s">
        <v>280</v>
      </c>
      <c r="Z11" s="29" t="s">
        <v>296</v>
      </c>
      <c r="AA11" s="18" t="s">
        <v>573</v>
      </c>
      <c r="AC11" s="187" t="s">
        <v>72</v>
      </c>
      <c r="AD11" s="29" t="s">
        <v>382</v>
      </c>
      <c r="AE11" s="18" t="s">
        <v>600</v>
      </c>
      <c r="AG11" s="187" t="s">
        <v>72</v>
      </c>
      <c r="AH11" s="26" t="s">
        <v>71</v>
      </c>
      <c r="AI11" s="25" t="s">
        <v>517</v>
      </c>
      <c r="AK11" s="187" t="s">
        <v>44</v>
      </c>
      <c r="AL11" s="26" t="s">
        <v>45</v>
      </c>
      <c r="AM11" s="25" t="s">
        <v>606</v>
      </c>
      <c r="AO11" s="187" t="s">
        <v>70</v>
      </c>
      <c r="AP11" s="29" t="s">
        <v>70</v>
      </c>
      <c r="AQ11" s="18" t="s">
        <v>608</v>
      </c>
      <c r="AS11" s="187" t="s">
        <v>110</v>
      </c>
      <c r="AT11" s="26" t="s">
        <v>110</v>
      </c>
      <c r="AU11" s="25" t="s">
        <v>209</v>
      </c>
      <c r="AW11" s="187" t="s">
        <v>110</v>
      </c>
      <c r="AX11" s="29" t="s">
        <v>730</v>
      </c>
      <c r="AY11" s="18" t="s">
        <v>170</v>
      </c>
    </row>
    <row r="12" spans="1:51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  <c r="M12" s="187"/>
      <c r="N12" s="4"/>
      <c r="O12" s="4"/>
      <c r="Q12" s="187"/>
      <c r="R12" s="4"/>
      <c r="S12" s="4"/>
      <c r="U12" s="187"/>
      <c r="V12" s="4"/>
      <c r="W12" s="4"/>
      <c r="Y12" s="187"/>
      <c r="Z12" s="4"/>
      <c r="AA12" s="4"/>
      <c r="AC12" s="187"/>
      <c r="AD12" s="4"/>
      <c r="AE12" s="4"/>
      <c r="AG12" s="187"/>
      <c r="AH12" s="4"/>
      <c r="AI12" s="4"/>
      <c r="AK12" s="187"/>
      <c r="AL12" s="4"/>
      <c r="AM12" s="4"/>
      <c r="AO12" s="187"/>
      <c r="AP12" s="4"/>
      <c r="AQ12" s="4"/>
      <c r="AS12" s="187"/>
      <c r="AT12" s="4"/>
      <c r="AU12" s="4"/>
      <c r="AW12" s="187"/>
      <c r="AX12" s="4"/>
      <c r="AY12" s="4"/>
    </row>
    <row r="13" spans="1:51" x14ac:dyDescent="0.2">
      <c r="A13" s="187"/>
      <c r="B13" s="5"/>
      <c r="C13" s="5"/>
      <c r="D13" s="53"/>
      <c r="E13" s="187"/>
      <c r="F13" s="4"/>
      <c r="G13" s="4"/>
      <c r="H13" s="39"/>
      <c r="I13" s="187"/>
      <c r="J13" s="4"/>
      <c r="K13" s="4"/>
      <c r="M13" s="187"/>
      <c r="N13" s="4"/>
      <c r="O13" s="4"/>
      <c r="Q13" s="187"/>
      <c r="R13" s="4"/>
      <c r="S13" s="4"/>
      <c r="U13" s="187"/>
      <c r="V13" s="4"/>
      <c r="W13" s="4"/>
      <c r="Y13" s="187"/>
      <c r="Z13" s="4"/>
      <c r="AA13" s="4"/>
      <c r="AC13" s="187"/>
      <c r="AD13" s="4"/>
      <c r="AE13" s="4"/>
      <c r="AG13" s="187"/>
      <c r="AH13" s="4"/>
      <c r="AI13" s="4"/>
      <c r="AK13" s="187"/>
      <c r="AL13" s="4"/>
      <c r="AM13" s="4"/>
      <c r="AO13" s="187"/>
      <c r="AP13" s="4"/>
      <c r="AQ13" s="4"/>
      <c r="AS13" s="187"/>
      <c r="AT13" s="4"/>
      <c r="AU13" s="4"/>
      <c r="AW13" s="187"/>
      <c r="AX13" s="4"/>
      <c r="AY13" s="4"/>
    </row>
    <row r="14" spans="1:51" x14ac:dyDescent="0.2">
      <c r="A14" s="187" t="s">
        <v>117</v>
      </c>
      <c r="B14" s="25" t="s">
        <v>117</v>
      </c>
      <c r="C14" s="25" t="s">
        <v>563</v>
      </c>
      <c r="D14" s="53"/>
      <c r="E14" s="223">
        <v>459</v>
      </c>
      <c r="F14" s="91">
        <v>495</v>
      </c>
      <c r="G14" s="18" t="s">
        <v>588</v>
      </c>
      <c r="I14" s="187" t="s">
        <v>69</v>
      </c>
      <c r="J14" s="25" t="s">
        <v>69</v>
      </c>
      <c r="K14" s="25" t="s">
        <v>591</v>
      </c>
      <c r="M14" s="187" t="s">
        <v>54</v>
      </c>
      <c r="N14" s="18" t="s">
        <v>54</v>
      </c>
      <c r="O14" s="18" t="s">
        <v>479</v>
      </c>
      <c r="U14" s="187" t="s">
        <v>35</v>
      </c>
      <c r="V14" s="18" t="s">
        <v>35</v>
      </c>
      <c r="W14" s="18" t="s">
        <v>598</v>
      </c>
      <c r="Y14" s="187" t="s">
        <v>120</v>
      </c>
      <c r="Z14" s="18" t="s">
        <v>156</v>
      </c>
      <c r="AA14" s="18" t="s">
        <v>479</v>
      </c>
      <c r="AG14" s="187" t="s">
        <v>120</v>
      </c>
      <c r="AH14" s="18" t="s">
        <v>156</v>
      </c>
      <c r="AI14" s="18" t="s">
        <v>604</v>
      </c>
      <c r="AK14" s="187" t="s">
        <v>35</v>
      </c>
      <c r="AL14" s="25" t="s">
        <v>177</v>
      </c>
      <c r="AM14" s="25" t="s">
        <v>607</v>
      </c>
      <c r="AO14" s="187" t="s">
        <v>54</v>
      </c>
      <c r="AP14" s="18" t="s">
        <v>55</v>
      </c>
      <c r="AQ14" s="18" t="s">
        <v>609</v>
      </c>
      <c r="AS14" s="187" t="s">
        <v>69</v>
      </c>
      <c r="AT14" s="18" t="s">
        <v>69</v>
      </c>
      <c r="AU14" s="18" t="s">
        <v>179</v>
      </c>
      <c r="AW14" s="187" t="s">
        <v>54</v>
      </c>
      <c r="AX14" s="18" t="s">
        <v>310</v>
      </c>
      <c r="AY14" s="18" t="s">
        <v>179</v>
      </c>
    </row>
    <row r="15" spans="1:51" x14ac:dyDescent="0.2">
      <c r="A15" s="187"/>
      <c r="B15" s="5"/>
      <c r="C15" s="5"/>
      <c r="D15" s="53"/>
      <c r="E15" s="224"/>
      <c r="F15" s="60"/>
      <c r="G15" s="60"/>
      <c r="I15" s="187"/>
      <c r="J15" s="4"/>
      <c r="K15" s="4"/>
      <c r="M15" s="187"/>
      <c r="N15" s="4"/>
      <c r="O15" s="4"/>
      <c r="Q15" s="187" t="s">
        <v>385</v>
      </c>
      <c r="R15" s="18" t="s">
        <v>594</v>
      </c>
      <c r="S15" s="18" t="s">
        <v>595</v>
      </c>
      <c r="U15" s="187"/>
      <c r="V15" s="4"/>
      <c r="W15" s="4"/>
      <c r="Y15" s="187"/>
      <c r="Z15" s="4"/>
      <c r="AA15" s="4"/>
      <c r="AC15" s="187" t="s">
        <v>10</v>
      </c>
      <c r="AD15" s="25" t="s">
        <v>182</v>
      </c>
      <c r="AE15" s="25" t="s">
        <v>585</v>
      </c>
      <c r="AG15" s="187"/>
      <c r="AH15" s="4"/>
      <c r="AI15" s="4"/>
      <c r="AK15" s="187"/>
      <c r="AL15" s="4"/>
      <c r="AM15" s="4"/>
      <c r="AO15" s="187"/>
      <c r="AP15" s="4"/>
      <c r="AQ15" s="4"/>
      <c r="AS15" s="187"/>
      <c r="AT15" s="4"/>
      <c r="AU15" s="4"/>
      <c r="AW15" s="187"/>
      <c r="AX15" s="4"/>
      <c r="AY15" s="4"/>
    </row>
    <row r="16" spans="1:51" x14ac:dyDescent="0.2">
      <c r="A16" s="187"/>
      <c r="B16" s="5"/>
      <c r="C16" s="5"/>
      <c r="D16" s="53"/>
      <c r="E16" s="225"/>
      <c r="F16" s="60"/>
      <c r="G16" s="60"/>
      <c r="I16" s="187"/>
      <c r="J16" s="4"/>
      <c r="K16" s="4"/>
      <c r="M16" s="187"/>
      <c r="N16" s="4"/>
      <c r="O16" s="4"/>
      <c r="Q16" s="187"/>
      <c r="R16" s="4"/>
      <c r="S16" s="4"/>
      <c r="U16" s="187"/>
      <c r="V16" s="4"/>
      <c r="W16" s="4"/>
      <c r="Y16" s="187"/>
      <c r="Z16" s="4"/>
      <c r="AA16" s="4"/>
      <c r="AC16" s="187"/>
      <c r="AD16" s="4"/>
      <c r="AE16" s="4"/>
      <c r="AG16" s="187"/>
      <c r="AH16" s="4"/>
      <c r="AI16" s="4"/>
      <c r="AK16" s="187"/>
      <c r="AL16" s="4"/>
      <c r="AM16" s="4"/>
      <c r="AO16" s="187"/>
      <c r="AP16" s="4"/>
      <c r="AQ16" s="4"/>
      <c r="AS16" s="187"/>
      <c r="AT16" s="4"/>
      <c r="AU16" s="4"/>
      <c r="AW16" s="187"/>
      <c r="AX16" s="4"/>
      <c r="AY16" s="4"/>
    </row>
    <row r="17" spans="1:31" x14ac:dyDescent="0.2">
      <c r="A17" s="60" t="s">
        <v>41</v>
      </c>
      <c r="B17" s="5" t="s">
        <v>158</v>
      </c>
      <c r="C17" s="46"/>
      <c r="D17" s="53"/>
      <c r="Q17" s="187"/>
      <c r="R17" s="4"/>
      <c r="S17" s="4"/>
      <c r="AC17" s="187"/>
      <c r="AD17" s="4"/>
      <c r="AE17" s="4"/>
    </row>
    <row r="18" spans="1:31" x14ac:dyDescent="0.2">
      <c r="A18" s="60" t="s">
        <v>41</v>
      </c>
      <c r="B18" s="5" t="s">
        <v>51</v>
      </c>
      <c r="C18" s="46"/>
      <c r="D18" s="53"/>
      <c r="I18" s="46"/>
      <c r="J18" s="46"/>
      <c r="K18" s="54"/>
      <c r="Q18" s="187" t="s">
        <v>117</v>
      </c>
      <c r="R18" s="25" t="s">
        <v>117</v>
      </c>
      <c r="S18" s="25" t="s">
        <v>563</v>
      </c>
      <c r="AC18" s="187" t="s">
        <v>109</v>
      </c>
      <c r="AD18" s="18" t="s">
        <v>288</v>
      </c>
      <c r="AE18" s="18" t="s">
        <v>170</v>
      </c>
    </row>
    <row r="19" spans="1:31" x14ac:dyDescent="0.2">
      <c r="A19" s="44"/>
      <c r="B19" s="46"/>
      <c r="C19" s="46"/>
      <c r="D19" s="53"/>
      <c r="Q19" s="187"/>
      <c r="R19" s="4"/>
      <c r="S19" s="4"/>
      <c r="AC19" s="187"/>
      <c r="AD19" s="4"/>
      <c r="AE19" s="4"/>
    </row>
    <row r="20" spans="1:31" x14ac:dyDescent="0.2">
      <c r="D20" s="53"/>
      <c r="Q20" s="187"/>
      <c r="R20" s="4"/>
      <c r="S20" s="4"/>
      <c r="AC20" s="187"/>
      <c r="AD20" s="4"/>
      <c r="AE20" s="4"/>
    </row>
    <row r="21" spans="1:31" x14ac:dyDescent="0.2">
      <c r="D21" s="53"/>
      <c r="Q21" s="187" t="s">
        <v>70</v>
      </c>
      <c r="R21" s="25" t="s">
        <v>78</v>
      </c>
      <c r="S21" s="25" t="s">
        <v>596</v>
      </c>
      <c r="AC21" s="187" t="s">
        <v>279</v>
      </c>
      <c r="AD21" s="18" t="s">
        <v>292</v>
      </c>
      <c r="AE21" s="18" t="s">
        <v>601</v>
      </c>
    </row>
    <row r="22" spans="1:31" x14ac:dyDescent="0.2">
      <c r="D22" s="53"/>
      <c r="Q22" s="187"/>
      <c r="R22" s="4"/>
      <c r="S22" s="4"/>
      <c r="AC22" s="187"/>
      <c r="AD22" s="4"/>
      <c r="AE22" s="4"/>
    </row>
    <row r="23" spans="1:31" x14ac:dyDescent="0.2">
      <c r="D23" s="53"/>
      <c r="Q23" s="187"/>
      <c r="R23" s="4"/>
      <c r="S23" s="4"/>
      <c r="AC23" s="187"/>
      <c r="AD23" s="4"/>
      <c r="AE23" s="4"/>
    </row>
    <row r="24" spans="1:31" x14ac:dyDescent="0.2">
      <c r="D24" s="53"/>
      <c r="Q24" s="187" t="s">
        <v>57</v>
      </c>
      <c r="R24" s="18" t="s">
        <v>59</v>
      </c>
      <c r="S24" s="18" t="s">
        <v>590</v>
      </c>
      <c r="AC24" s="187" t="s">
        <v>281</v>
      </c>
      <c r="AD24" s="18" t="s">
        <v>302</v>
      </c>
      <c r="AE24" s="18" t="s">
        <v>602</v>
      </c>
    </row>
    <row r="25" spans="1:31" x14ac:dyDescent="0.2">
      <c r="D25" s="53"/>
      <c r="Q25" s="187"/>
      <c r="R25" s="4"/>
      <c r="S25" s="4"/>
      <c r="AC25" s="187"/>
      <c r="AD25" s="4"/>
      <c r="AE25" s="4"/>
    </row>
    <row r="26" spans="1:31" x14ac:dyDescent="0.2">
      <c r="D26" s="53"/>
      <c r="Q26" s="187"/>
      <c r="R26" s="4"/>
      <c r="S26" s="4"/>
      <c r="AC26" s="187"/>
      <c r="AD26" s="4"/>
      <c r="AE26" s="4"/>
    </row>
    <row r="27" spans="1:31" x14ac:dyDescent="0.2">
      <c r="D27" s="53"/>
    </row>
    <row r="28" spans="1:31" x14ac:dyDescent="0.2">
      <c r="D28" s="53"/>
      <c r="L28" s="54"/>
    </row>
    <row r="32" spans="1:31" ht="26.25" x14ac:dyDescent="0.4">
      <c r="E32" s="139" t="s">
        <v>838</v>
      </c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</row>
  </sheetData>
  <mergeCells count="57">
    <mergeCell ref="AS14:AS16"/>
    <mergeCell ref="AW14:AW16"/>
    <mergeCell ref="AS8:AU8"/>
    <mergeCell ref="AW8:AY8"/>
    <mergeCell ref="AS9:AU9"/>
    <mergeCell ref="AW9:AY9"/>
    <mergeCell ref="AS11:AS13"/>
    <mergeCell ref="AW11:AW13"/>
    <mergeCell ref="AO14:AO16"/>
    <mergeCell ref="AC24:AC26"/>
    <mergeCell ref="AG8:AI8"/>
    <mergeCell ref="AG9:AI9"/>
    <mergeCell ref="AG11:AG13"/>
    <mergeCell ref="AG14:AG16"/>
    <mergeCell ref="AC15:AC17"/>
    <mergeCell ref="AC18:AC20"/>
    <mergeCell ref="AC21:AC23"/>
    <mergeCell ref="AK8:AM8"/>
    <mergeCell ref="AK9:AM9"/>
    <mergeCell ref="AK11:AK13"/>
    <mergeCell ref="AK14:AK16"/>
    <mergeCell ref="AC8:AE8"/>
    <mergeCell ref="AC9:AE9"/>
    <mergeCell ref="AC11:AC13"/>
    <mergeCell ref="Y14:Y16"/>
    <mergeCell ref="Q18:Q20"/>
    <mergeCell ref="Q21:Q23"/>
    <mergeCell ref="Q24:Q26"/>
    <mergeCell ref="AO8:AQ8"/>
    <mergeCell ref="AO9:AQ9"/>
    <mergeCell ref="AO11:AO13"/>
    <mergeCell ref="Y8:AA8"/>
    <mergeCell ref="Y9:AA9"/>
    <mergeCell ref="Y11:Y13"/>
    <mergeCell ref="Q8:S8"/>
    <mergeCell ref="Q9:S9"/>
    <mergeCell ref="Q11:Q13"/>
    <mergeCell ref="Q15:Q17"/>
    <mergeCell ref="U8:W8"/>
    <mergeCell ref="U9:W9"/>
    <mergeCell ref="U11:U13"/>
    <mergeCell ref="U14:U16"/>
    <mergeCell ref="A11:A13"/>
    <mergeCell ref="E11:E13"/>
    <mergeCell ref="I11:I13"/>
    <mergeCell ref="M11:M13"/>
    <mergeCell ref="A14:A16"/>
    <mergeCell ref="E14:E16"/>
    <mergeCell ref="I14:I16"/>
    <mergeCell ref="M14:M16"/>
    <mergeCell ref="A8:C8"/>
    <mergeCell ref="E8:G8"/>
    <mergeCell ref="I8:K8"/>
    <mergeCell ref="M8:O8"/>
    <mergeCell ref="E9:G9"/>
    <mergeCell ref="I9:K9"/>
    <mergeCell ref="M9:O9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88"/>
  <sheetViews>
    <sheetView workbookViewId="0">
      <selection activeCell="B19" sqref="B19"/>
    </sheetView>
  </sheetViews>
  <sheetFormatPr defaultRowHeight="12.75" x14ac:dyDescent="0.2"/>
  <sheetData>
    <row r="2" spans="1:15" x14ac:dyDescent="0.2">
      <c r="A2" s="9"/>
      <c r="B2" s="48">
        <v>9.1549999999999994</v>
      </c>
      <c r="C2" s="15" t="s">
        <v>451</v>
      </c>
      <c r="D2" s="48">
        <v>24.18</v>
      </c>
      <c r="E2" s="12" t="s">
        <v>452</v>
      </c>
      <c r="F2" s="12" t="s">
        <v>453</v>
      </c>
      <c r="G2" s="12" t="s">
        <v>450</v>
      </c>
      <c r="H2" s="12" t="s">
        <v>448</v>
      </c>
      <c r="I2" s="12" t="s">
        <v>449</v>
      </c>
      <c r="J2">
        <v>-22.35</v>
      </c>
    </row>
    <row r="3" spans="1:15" x14ac:dyDescent="0.2">
      <c r="A3" s="19" t="s">
        <v>0</v>
      </c>
      <c r="B3" s="34">
        <f>51/B2</f>
        <v>5.5707263790278541</v>
      </c>
      <c r="C3" s="34">
        <f t="shared" ref="C3:J3" si="0">51/C2</f>
        <v>3.2903225806451615</v>
      </c>
      <c r="D3" s="34">
        <f t="shared" si="0"/>
        <v>2.1091811414392061</v>
      </c>
      <c r="E3" s="34">
        <f t="shared" si="0"/>
        <v>1.3934426229508197</v>
      </c>
      <c r="F3" s="34">
        <f t="shared" si="0"/>
        <v>1.1348464619492658</v>
      </c>
      <c r="G3" s="34">
        <f t="shared" si="0"/>
        <v>1</v>
      </c>
      <c r="H3" s="34">
        <f t="shared" si="0"/>
        <v>0.91776138204066937</v>
      </c>
      <c r="I3" s="34">
        <f t="shared" si="0"/>
        <v>0.82457558609539205</v>
      </c>
      <c r="J3" s="34">
        <f t="shared" si="0"/>
        <v>-2.2818791946308723</v>
      </c>
    </row>
    <row r="4" spans="1:15" x14ac:dyDescent="0.2">
      <c r="A4" s="19" t="s">
        <v>1</v>
      </c>
      <c r="B4" s="34"/>
      <c r="C4" s="49">
        <f t="shared" ref="C4:I4" si="1">B3/C3</f>
        <v>1.6930638995084653</v>
      </c>
      <c r="D4" s="34">
        <f t="shared" si="1"/>
        <v>1.56</v>
      </c>
      <c r="E4" s="36">
        <f t="shared" si="1"/>
        <v>1.5136476426799008</v>
      </c>
      <c r="F4" s="36">
        <f t="shared" si="1"/>
        <v>1.2278688524590162</v>
      </c>
      <c r="G4" s="36">
        <f t="shared" si="1"/>
        <v>1.1348464619492658</v>
      </c>
      <c r="H4" s="36">
        <f t="shared" si="1"/>
        <v>1.0896078431372549</v>
      </c>
      <c r="I4" s="36">
        <f t="shared" si="1"/>
        <v>1.1130106172395178</v>
      </c>
      <c r="J4" t="s">
        <v>540</v>
      </c>
      <c r="K4" s="88">
        <f>B3/I3</f>
        <v>6.7558711086837802</v>
      </c>
    </row>
    <row r="5" spans="1:15" x14ac:dyDescent="0.2">
      <c r="A5" s="9"/>
      <c r="B5" s="50">
        <f t="shared" ref="B5:I5" si="2">100/B3</f>
        <v>17.950980392156861</v>
      </c>
      <c r="C5" s="8">
        <f t="shared" si="2"/>
        <v>30.392156862745097</v>
      </c>
      <c r="D5" s="50">
        <f t="shared" si="2"/>
        <v>47.411764705882348</v>
      </c>
      <c r="E5" s="7">
        <f t="shared" si="2"/>
        <v>71.764705882352942</v>
      </c>
      <c r="F5" s="7">
        <f t="shared" si="2"/>
        <v>88.117647058823522</v>
      </c>
      <c r="G5" s="7">
        <f t="shared" si="2"/>
        <v>100</v>
      </c>
      <c r="H5" s="7">
        <f t="shared" si="2"/>
        <v>108.9607843137255</v>
      </c>
      <c r="I5" s="7">
        <f t="shared" si="2"/>
        <v>121.27450980392157</v>
      </c>
    </row>
    <row r="6" spans="1:15" x14ac:dyDescent="0.2">
      <c r="B6" s="51">
        <f>1/B3</f>
        <v>0.17950980392156862</v>
      </c>
      <c r="C6" s="51">
        <f t="shared" ref="C6:I6" si="3">1/C3</f>
        <v>0.30392156862745096</v>
      </c>
      <c r="D6" s="51">
        <f t="shared" si="3"/>
        <v>0.47411764705882348</v>
      </c>
      <c r="E6" s="51">
        <f t="shared" si="3"/>
        <v>0.71764705882352942</v>
      </c>
      <c r="F6" s="51">
        <f t="shared" si="3"/>
        <v>0.88117647058823523</v>
      </c>
      <c r="G6" s="51">
        <f t="shared" si="3"/>
        <v>1</v>
      </c>
      <c r="H6" s="51">
        <f t="shared" si="3"/>
        <v>1.0896078431372549</v>
      </c>
      <c r="I6" s="51">
        <f t="shared" si="3"/>
        <v>1.2127450980392158</v>
      </c>
    </row>
    <row r="7" spans="1:15" x14ac:dyDescent="0.2">
      <c r="A7" s="188" t="s">
        <v>60</v>
      </c>
      <c r="B7" s="188"/>
      <c r="C7" s="188"/>
      <c r="D7" s="52"/>
      <c r="E7" s="189" t="s">
        <v>97</v>
      </c>
      <c r="F7" s="189"/>
      <c r="G7" s="189"/>
      <c r="I7" s="189" t="s">
        <v>98</v>
      </c>
      <c r="J7" s="189"/>
      <c r="K7" s="189"/>
      <c r="M7" s="189" t="s">
        <v>99</v>
      </c>
      <c r="N7" s="189"/>
      <c r="O7" s="189"/>
    </row>
    <row r="8" spans="1:15" x14ac:dyDescent="0.2">
      <c r="B8" s="51"/>
      <c r="C8" s="2"/>
      <c r="D8" s="52"/>
      <c r="E8" s="185" t="s">
        <v>655</v>
      </c>
      <c r="F8" s="185"/>
      <c r="G8" s="185"/>
      <c r="I8" s="185" t="s">
        <v>658</v>
      </c>
      <c r="J8" s="185"/>
      <c r="K8" s="185"/>
      <c r="M8" s="185" t="s">
        <v>661</v>
      </c>
      <c r="N8" s="185"/>
      <c r="O8" s="185"/>
    </row>
    <row r="9" spans="1:15" x14ac:dyDescent="0.2">
      <c r="A9" s="7" t="s">
        <v>2</v>
      </c>
      <c r="B9" s="8" t="s">
        <v>3</v>
      </c>
      <c r="C9" s="20" t="s">
        <v>0</v>
      </c>
      <c r="D9" s="52"/>
      <c r="E9" s="7" t="s">
        <v>2</v>
      </c>
      <c r="F9" s="7" t="s">
        <v>3</v>
      </c>
      <c r="G9" s="21" t="s">
        <v>0</v>
      </c>
      <c r="I9" s="7" t="s">
        <v>2</v>
      </c>
      <c r="J9" s="7" t="s">
        <v>3</v>
      </c>
      <c r="K9" s="21" t="s">
        <v>0</v>
      </c>
      <c r="M9" s="7" t="s">
        <v>2</v>
      </c>
      <c r="N9" s="7" t="s">
        <v>3</v>
      </c>
      <c r="O9" s="21" t="s">
        <v>0</v>
      </c>
    </row>
    <row r="10" spans="1:15" x14ac:dyDescent="0.2">
      <c r="A10" s="187" t="s">
        <v>160</v>
      </c>
      <c r="B10" s="18" t="s">
        <v>184</v>
      </c>
      <c r="C10" s="18" t="s">
        <v>651</v>
      </c>
      <c r="D10" s="53"/>
      <c r="E10" s="187" t="s">
        <v>281</v>
      </c>
      <c r="F10" s="29" t="s">
        <v>300</v>
      </c>
      <c r="G10" s="29" t="s">
        <v>656</v>
      </c>
      <c r="H10" s="39"/>
      <c r="I10" s="187" t="s">
        <v>57</v>
      </c>
      <c r="J10" s="26" t="s">
        <v>57</v>
      </c>
      <c r="K10" s="26" t="s">
        <v>659</v>
      </c>
      <c r="M10" s="187" t="s">
        <v>35</v>
      </c>
      <c r="N10" s="29" t="s">
        <v>39</v>
      </c>
      <c r="O10" s="29" t="s">
        <v>662</v>
      </c>
    </row>
    <row r="11" spans="1:15" x14ac:dyDescent="0.2">
      <c r="A11" s="187"/>
      <c r="B11" s="5"/>
      <c r="C11" s="5"/>
      <c r="D11" s="53"/>
      <c r="E11" s="187"/>
      <c r="F11" s="4"/>
      <c r="G11" s="4"/>
      <c r="H11" s="39"/>
      <c r="I11" s="187"/>
      <c r="J11" s="4"/>
      <c r="K11" s="4"/>
      <c r="M11" s="187"/>
      <c r="N11" s="4"/>
      <c r="O11" s="4"/>
    </row>
    <row r="12" spans="1:15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  <c r="M12" s="187"/>
      <c r="N12" s="4"/>
      <c r="O12" s="4"/>
    </row>
    <row r="13" spans="1:15" x14ac:dyDescent="0.2">
      <c r="A13" s="187" t="s">
        <v>15</v>
      </c>
      <c r="B13" s="18" t="s">
        <v>18</v>
      </c>
      <c r="C13" s="18" t="s">
        <v>652</v>
      </c>
      <c r="D13" s="53"/>
      <c r="E13" s="187" t="s">
        <v>72</v>
      </c>
      <c r="F13" s="25" t="s">
        <v>72</v>
      </c>
      <c r="G13" s="25" t="s">
        <v>657</v>
      </c>
      <c r="H13" s="44"/>
      <c r="I13" s="187" t="s">
        <v>279</v>
      </c>
      <c r="J13" s="18" t="s">
        <v>291</v>
      </c>
      <c r="K13" s="18" t="s">
        <v>660</v>
      </c>
    </row>
    <row r="14" spans="1:15" x14ac:dyDescent="0.2">
      <c r="A14" s="187"/>
      <c r="B14" s="5"/>
      <c r="C14" s="5"/>
      <c r="D14" s="53"/>
      <c r="E14" s="187"/>
      <c r="F14" s="4"/>
      <c r="G14" s="4"/>
      <c r="H14" s="44"/>
      <c r="I14" s="187"/>
      <c r="J14" s="4"/>
      <c r="K14" s="4"/>
      <c r="L14">
        <v>1</v>
      </c>
      <c r="M14" s="187" t="s">
        <v>160</v>
      </c>
      <c r="N14" s="18" t="s">
        <v>184</v>
      </c>
      <c r="O14" s="18" t="s">
        <v>651</v>
      </c>
    </row>
    <row r="15" spans="1:15" x14ac:dyDescent="0.2">
      <c r="A15" s="187"/>
      <c r="B15" s="5"/>
      <c r="C15" s="5"/>
      <c r="D15" s="53"/>
      <c r="E15" s="187"/>
      <c r="F15" s="4"/>
      <c r="G15" s="4"/>
      <c r="H15" s="44"/>
      <c r="I15" s="187"/>
      <c r="J15" s="4"/>
      <c r="K15" s="4"/>
      <c r="M15" s="187"/>
      <c r="N15" s="4"/>
      <c r="O15" s="4"/>
    </row>
    <row r="16" spans="1:15" x14ac:dyDescent="0.2">
      <c r="A16" s="187" t="s">
        <v>478</v>
      </c>
      <c r="B16" s="18" t="s">
        <v>653</v>
      </c>
      <c r="C16" s="18" t="s">
        <v>6</v>
      </c>
      <c r="D16" s="53"/>
      <c r="E16" s="44"/>
      <c r="H16" s="44"/>
      <c r="M16" s="187"/>
      <c r="N16" s="4"/>
      <c r="O16" s="4"/>
    </row>
    <row r="17" spans="1:15" x14ac:dyDescent="0.2">
      <c r="A17" s="187"/>
      <c r="B17" s="5"/>
      <c r="C17" s="5"/>
      <c r="D17" s="53"/>
      <c r="E17" s="45"/>
      <c r="F17" s="45"/>
      <c r="G17" s="45"/>
      <c r="H17" s="44"/>
      <c r="L17">
        <v>2</v>
      </c>
      <c r="M17" s="187" t="s">
        <v>15</v>
      </c>
      <c r="N17" s="18" t="s">
        <v>18</v>
      </c>
      <c r="O17" s="18" t="s">
        <v>652</v>
      </c>
    </row>
    <row r="18" spans="1:15" x14ac:dyDescent="0.2">
      <c r="A18" s="187"/>
      <c r="B18" s="5"/>
      <c r="C18" s="5"/>
      <c r="D18" s="53"/>
      <c r="E18" s="45"/>
      <c r="F18" s="45"/>
      <c r="G18" s="45"/>
      <c r="H18" s="44"/>
      <c r="M18" s="187"/>
      <c r="N18" s="4"/>
      <c r="O18" s="4"/>
    </row>
    <row r="19" spans="1:15" x14ac:dyDescent="0.2">
      <c r="A19" s="187" t="s">
        <v>116</v>
      </c>
      <c r="B19" s="18" t="s">
        <v>654</v>
      </c>
      <c r="C19" s="18" t="s">
        <v>472</v>
      </c>
      <c r="D19" s="53"/>
      <c r="E19" s="46"/>
      <c r="F19" s="46"/>
      <c r="G19" s="45"/>
      <c r="H19" s="44"/>
      <c r="M19" s="187"/>
      <c r="N19" s="4"/>
      <c r="O19" s="4"/>
    </row>
    <row r="20" spans="1:15" x14ac:dyDescent="0.2">
      <c r="A20" s="187"/>
      <c r="B20" s="5"/>
      <c r="C20" s="5"/>
      <c r="D20" s="53"/>
      <c r="E20" s="46"/>
      <c r="F20" s="46"/>
      <c r="G20" s="45"/>
      <c r="H20" s="44"/>
      <c r="L20">
        <v>3</v>
      </c>
      <c r="M20" s="187" t="s">
        <v>109</v>
      </c>
      <c r="N20" s="18" t="s">
        <v>286</v>
      </c>
      <c r="O20" s="18" t="s">
        <v>663</v>
      </c>
    </row>
    <row r="21" spans="1:15" x14ac:dyDescent="0.2">
      <c r="A21" s="187"/>
      <c r="B21" s="5"/>
      <c r="C21" s="5"/>
      <c r="D21" s="53"/>
      <c r="E21" s="46"/>
      <c r="F21" s="46"/>
      <c r="G21" s="45"/>
      <c r="H21" s="44"/>
      <c r="M21" s="187"/>
      <c r="N21" s="4"/>
      <c r="O21" s="4"/>
    </row>
    <row r="22" spans="1:15" x14ac:dyDescent="0.2">
      <c r="A22" s="4" t="s">
        <v>41</v>
      </c>
      <c r="B22" s="5" t="s">
        <v>52</v>
      </c>
      <c r="C22" s="46"/>
      <c r="D22" s="53"/>
      <c r="E22" s="45"/>
      <c r="F22" s="45"/>
      <c r="G22" s="45"/>
      <c r="H22" s="44"/>
      <c r="M22" s="187"/>
      <c r="N22" s="4"/>
      <c r="O22" s="4"/>
    </row>
    <row r="23" spans="1:15" x14ac:dyDescent="0.2">
      <c r="A23" s="4" t="s">
        <v>41</v>
      </c>
      <c r="B23" s="5" t="s">
        <v>650</v>
      </c>
      <c r="C23" s="46"/>
      <c r="D23" s="53"/>
      <c r="E23" s="45"/>
      <c r="F23" s="45"/>
      <c r="G23" s="45"/>
      <c r="H23" s="44"/>
      <c r="L23">
        <v>4</v>
      </c>
      <c r="M23" s="187" t="s">
        <v>478</v>
      </c>
      <c r="N23" s="18" t="s">
        <v>653</v>
      </c>
      <c r="O23" s="18" t="s">
        <v>6</v>
      </c>
    </row>
    <row r="24" spans="1:15" x14ac:dyDescent="0.2">
      <c r="A24" s="45"/>
      <c r="B24" s="46"/>
      <c r="C24" s="46"/>
      <c r="D24" s="53"/>
      <c r="E24" s="45"/>
      <c r="F24" s="45"/>
      <c r="G24" s="45"/>
      <c r="H24" s="44"/>
      <c r="M24" s="187"/>
      <c r="N24" s="4"/>
      <c r="O24" s="4"/>
    </row>
    <row r="25" spans="1:15" ht="12.75" customHeight="1" x14ac:dyDescent="0.2">
      <c r="A25" s="44"/>
      <c r="B25" s="46"/>
      <c r="C25" s="46"/>
      <c r="D25" s="53"/>
      <c r="E25" s="46"/>
      <c r="F25" s="54"/>
      <c r="G25" s="54"/>
      <c r="M25" s="187"/>
      <c r="N25" s="4"/>
      <c r="O25" s="4"/>
    </row>
    <row r="26" spans="1:15" x14ac:dyDescent="0.2">
      <c r="A26" s="44"/>
      <c r="B26" s="46"/>
      <c r="C26" s="46"/>
      <c r="D26" s="53"/>
      <c r="H26" s="44"/>
      <c r="L26">
        <v>5</v>
      </c>
      <c r="M26" s="187" t="s">
        <v>280</v>
      </c>
      <c r="N26" s="18" t="s">
        <v>296</v>
      </c>
      <c r="O26" s="18" t="s">
        <v>664</v>
      </c>
    </row>
    <row r="27" spans="1:15" x14ac:dyDescent="0.2">
      <c r="A27" s="44"/>
      <c r="B27" s="46"/>
      <c r="C27" s="46"/>
      <c r="D27" s="53"/>
      <c r="H27" s="44"/>
      <c r="M27" s="187"/>
      <c r="N27" s="4"/>
      <c r="O27" s="4"/>
    </row>
    <row r="28" spans="1:15" x14ac:dyDescent="0.2">
      <c r="A28" s="44"/>
      <c r="B28" s="46"/>
      <c r="C28" s="46"/>
      <c r="D28" s="53"/>
      <c r="H28" s="44"/>
      <c r="M28" s="187"/>
      <c r="N28" s="4"/>
      <c r="O28" s="4"/>
    </row>
    <row r="29" spans="1:15" x14ac:dyDescent="0.2">
      <c r="A29" s="44"/>
      <c r="B29" s="46"/>
      <c r="C29" s="46"/>
      <c r="D29" s="53"/>
      <c r="H29" s="44"/>
      <c r="M29" s="187" t="s">
        <v>110</v>
      </c>
      <c r="N29" s="25" t="s">
        <v>458</v>
      </c>
      <c r="O29" s="25" t="s">
        <v>665</v>
      </c>
    </row>
    <row r="30" spans="1:15" x14ac:dyDescent="0.2">
      <c r="A30" s="44"/>
      <c r="B30" s="46"/>
      <c r="C30" s="46"/>
      <c r="D30" s="53"/>
      <c r="H30" s="44"/>
      <c r="M30" s="187"/>
      <c r="N30" s="4"/>
      <c r="O30" s="4"/>
    </row>
    <row r="31" spans="1:15" x14ac:dyDescent="0.2">
      <c r="A31" s="44"/>
      <c r="B31" s="46"/>
      <c r="C31" s="46"/>
      <c r="D31" s="53"/>
      <c r="H31" s="44"/>
      <c r="M31" s="187"/>
      <c r="N31" s="4"/>
      <c r="O31" s="4"/>
    </row>
    <row r="32" spans="1:15" x14ac:dyDescent="0.2">
      <c r="A32" s="44"/>
      <c r="B32" s="46"/>
      <c r="C32" s="46"/>
      <c r="D32" s="53"/>
      <c r="H32" s="44"/>
      <c r="L32">
        <v>6</v>
      </c>
      <c r="M32" s="187" t="s">
        <v>116</v>
      </c>
      <c r="N32" s="18" t="s">
        <v>654</v>
      </c>
      <c r="O32" s="18" t="s">
        <v>472</v>
      </c>
    </row>
    <row r="33" spans="1:16" x14ac:dyDescent="0.2">
      <c r="A33" s="44"/>
      <c r="B33" s="46"/>
      <c r="C33" s="46"/>
      <c r="D33" s="53"/>
      <c r="H33" s="44"/>
      <c r="M33" s="187"/>
      <c r="N33" s="4"/>
      <c r="O33" s="4"/>
    </row>
    <row r="34" spans="1:16" x14ac:dyDescent="0.2">
      <c r="A34" s="44"/>
      <c r="B34" s="54"/>
      <c r="C34" s="46"/>
      <c r="D34" s="53"/>
      <c r="H34" s="44"/>
      <c r="M34" s="187"/>
      <c r="N34" s="4"/>
      <c r="O34" s="4"/>
    </row>
    <row r="35" spans="1:16" x14ac:dyDescent="0.2">
      <c r="M35" s="187" t="s">
        <v>69</v>
      </c>
      <c r="N35" s="25" t="s">
        <v>304</v>
      </c>
      <c r="O35" s="25" t="s">
        <v>666</v>
      </c>
    </row>
    <row r="36" spans="1:16" x14ac:dyDescent="0.2">
      <c r="M36" s="187"/>
      <c r="N36" s="4"/>
      <c r="O36" s="4"/>
    </row>
    <row r="37" spans="1:16" x14ac:dyDescent="0.2">
      <c r="M37" s="187"/>
      <c r="N37" s="4"/>
      <c r="O37" s="4"/>
    </row>
    <row r="38" spans="1:16" x14ac:dyDescent="0.2">
      <c r="M38" s="187" t="s">
        <v>385</v>
      </c>
      <c r="N38" s="25" t="s">
        <v>388</v>
      </c>
      <c r="O38" s="25" t="s">
        <v>667</v>
      </c>
    </row>
    <row r="39" spans="1:16" x14ac:dyDescent="0.2">
      <c r="M39" s="187"/>
      <c r="N39" s="4"/>
      <c r="O39" s="4"/>
    </row>
    <row r="40" spans="1:16" x14ac:dyDescent="0.2">
      <c r="M40" s="187"/>
      <c r="N40" s="4"/>
      <c r="O40" s="4"/>
    </row>
    <row r="41" spans="1:16" x14ac:dyDescent="0.2">
      <c r="L41">
        <v>7</v>
      </c>
      <c r="M41" s="187" t="s">
        <v>44</v>
      </c>
      <c r="N41" s="18" t="s">
        <v>671</v>
      </c>
      <c r="O41" s="18" t="s">
        <v>669</v>
      </c>
    </row>
    <row r="42" spans="1:16" x14ac:dyDescent="0.2">
      <c r="M42" s="187"/>
      <c r="N42" s="4"/>
      <c r="O42" s="4"/>
    </row>
    <row r="43" spans="1:16" x14ac:dyDescent="0.2">
      <c r="M43" s="187"/>
      <c r="N43" s="4"/>
      <c r="O43" s="4"/>
    </row>
    <row r="45" spans="1:16" x14ac:dyDescent="0.2">
      <c r="L45">
        <v>123</v>
      </c>
      <c r="M45" s="12" t="s">
        <v>39</v>
      </c>
      <c r="N45" s="12" t="s">
        <v>662</v>
      </c>
      <c r="O45" s="214" t="s">
        <v>672</v>
      </c>
      <c r="P45" s="215"/>
    </row>
    <row r="46" spans="1:16" x14ac:dyDescent="0.2">
      <c r="M46" s="15" t="s">
        <v>184</v>
      </c>
      <c r="N46" s="15" t="s">
        <v>651</v>
      </c>
      <c r="O46" s="84"/>
      <c r="P46" s="85"/>
    </row>
    <row r="47" spans="1:16" x14ac:dyDescent="0.2">
      <c r="M47" s="15" t="s">
        <v>18</v>
      </c>
      <c r="N47" s="15" t="s">
        <v>652</v>
      </c>
      <c r="O47" s="84"/>
      <c r="P47" s="85"/>
    </row>
    <row r="48" spans="1:16" x14ac:dyDescent="0.2">
      <c r="M48" s="18" t="s">
        <v>286</v>
      </c>
      <c r="N48" s="18" t="s">
        <v>663</v>
      </c>
      <c r="O48" s="84"/>
      <c r="P48" s="85"/>
    </row>
    <row r="49" spans="12:16" x14ac:dyDescent="0.2">
      <c r="M49" s="12" t="s">
        <v>41</v>
      </c>
      <c r="N49" s="15" t="s">
        <v>52</v>
      </c>
    </row>
    <row r="50" spans="12:16" x14ac:dyDescent="0.2">
      <c r="M50" s="12" t="s">
        <v>41</v>
      </c>
      <c r="N50" s="15" t="s">
        <v>650</v>
      </c>
    </row>
    <row r="52" spans="12:16" x14ac:dyDescent="0.2">
      <c r="L52">
        <v>124</v>
      </c>
      <c r="M52" s="26" t="s">
        <v>39</v>
      </c>
      <c r="N52" s="26" t="s">
        <v>662</v>
      </c>
      <c r="O52" s="210" t="s">
        <v>670</v>
      </c>
      <c r="P52" s="211"/>
    </row>
    <row r="53" spans="12:16" x14ac:dyDescent="0.2">
      <c r="M53" s="25" t="s">
        <v>184</v>
      </c>
      <c r="N53" s="25" t="s">
        <v>651</v>
      </c>
      <c r="O53" s="210"/>
      <c r="P53" s="211"/>
    </row>
    <row r="54" spans="12:16" x14ac:dyDescent="0.2">
      <c r="M54" s="25" t="s">
        <v>18</v>
      </c>
      <c r="N54" s="25" t="s">
        <v>652</v>
      </c>
      <c r="O54" s="210"/>
      <c r="P54" s="211"/>
    </row>
    <row r="55" spans="12:16" x14ac:dyDescent="0.2">
      <c r="M55" s="25" t="s">
        <v>653</v>
      </c>
      <c r="N55" s="25" t="s">
        <v>6</v>
      </c>
      <c r="O55" s="210"/>
      <c r="P55" s="211"/>
    </row>
    <row r="56" spans="12:16" x14ac:dyDescent="0.2">
      <c r="M56" s="26" t="s">
        <v>41</v>
      </c>
      <c r="N56" s="25" t="s">
        <v>52</v>
      </c>
    </row>
    <row r="57" spans="12:16" x14ac:dyDescent="0.2">
      <c r="M57" s="26" t="s">
        <v>41</v>
      </c>
      <c r="N57" s="25" t="s">
        <v>650</v>
      </c>
    </row>
    <row r="59" spans="12:16" x14ac:dyDescent="0.2">
      <c r="L59">
        <v>125</v>
      </c>
      <c r="M59" s="26" t="s">
        <v>39</v>
      </c>
      <c r="N59" s="26" t="s">
        <v>662</v>
      </c>
    </row>
    <row r="60" spans="12:16" x14ac:dyDescent="0.2">
      <c r="M60" s="25" t="s">
        <v>184</v>
      </c>
      <c r="N60" s="25" t="s">
        <v>651</v>
      </c>
    </row>
    <row r="61" spans="12:16" x14ac:dyDescent="0.2">
      <c r="M61" s="25" t="s">
        <v>18</v>
      </c>
      <c r="N61" s="25" t="s">
        <v>652</v>
      </c>
    </row>
    <row r="62" spans="12:16" x14ac:dyDescent="0.2">
      <c r="M62" s="25" t="s">
        <v>296</v>
      </c>
      <c r="N62" s="25" t="s">
        <v>664</v>
      </c>
    </row>
    <row r="63" spans="12:16" x14ac:dyDescent="0.2">
      <c r="M63" s="26" t="s">
        <v>41</v>
      </c>
      <c r="N63" s="25" t="s">
        <v>52</v>
      </c>
    </row>
    <row r="64" spans="12:16" x14ac:dyDescent="0.2">
      <c r="M64" s="26" t="s">
        <v>41</v>
      </c>
      <c r="N64" s="25" t="s">
        <v>650</v>
      </c>
    </row>
    <row r="66" spans="12:16" x14ac:dyDescent="0.2">
      <c r="L66">
        <v>126</v>
      </c>
      <c r="M66" s="26" t="s">
        <v>39</v>
      </c>
      <c r="N66" s="26" t="s">
        <v>662</v>
      </c>
      <c r="O66" s="210" t="s">
        <v>670</v>
      </c>
      <c r="P66" s="211"/>
    </row>
    <row r="67" spans="12:16" x14ac:dyDescent="0.2">
      <c r="M67" s="25" t="s">
        <v>184</v>
      </c>
      <c r="N67" s="25" t="s">
        <v>651</v>
      </c>
      <c r="O67" s="210"/>
      <c r="P67" s="211"/>
    </row>
    <row r="68" spans="12:16" x14ac:dyDescent="0.2">
      <c r="M68" s="25" t="s">
        <v>18</v>
      </c>
      <c r="N68" s="25" t="s">
        <v>652</v>
      </c>
      <c r="O68" s="210"/>
      <c r="P68" s="211"/>
    </row>
    <row r="69" spans="12:16" x14ac:dyDescent="0.2">
      <c r="M69" s="25" t="s">
        <v>654</v>
      </c>
      <c r="N69" s="25" t="s">
        <v>472</v>
      </c>
      <c r="O69" s="210"/>
      <c r="P69" s="211"/>
    </row>
    <row r="70" spans="12:16" x14ac:dyDescent="0.2">
      <c r="M70" s="26" t="s">
        <v>41</v>
      </c>
      <c r="N70" s="25" t="s">
        <v>52</v>
      </c>
    </row>
    <row r="71" spans="12:16" x14ac:dyDescent="0.2">
      <c r="M71" s="26" t="s">
        <v>41</v>
      </c>
      <c r="N71" s="25" t="s">
        <v>650</v>
      </c>
    </row>
    <row r="73" spans="12:16" x14ac:dyDescent="0.2">
      <c r="L73">
        <v>127</v>
      </c>
      <c r="M73" s="26" t="s">
        <v>39</v>
      </c>
      <c r="N73" s="26" t="s">
        <v>662</v>
      </c>
    </row>
    <row r="74" spans="12:16" x14ac:dyDescent="0.2">
      <c r="M74" s="25" t="s">
        <v>184</v>
      </c>
      <c r="N74" s="25" t="s">
        <v>651</v>
      </c>
    </row>
    <row r="75" spans="12:16" x14ac:dyDescent="0.2">
      <c r="M75" s="25" t="s">
        <v>18</v>
      </c>
      <c r="N75" s="25" t="s">
        <v>652</v>
      </c>
    </row>
    <row r="76" spans="12:16" x14ac:dyDescent="0.2">
      <c r="M76" s="25" t="s">
        <v>671</v>
      </c>
      <c r="N76" s="25" t="s">
        <v>669</v>
      </c>
    </row>
    <row r="77" spans="12:16" x14ac:dyDescent="0.2">
      <c r="M77" s="26" t="s">
        <v>41</v>
      </c>
      <c r="N77" s="25" t="s">
        <v>52</v>
      </c>
    </row>
    <row r="78" spans="12:16" x14ac:dyDescent="0.2">
      <c r="M78" s="26" t="s">
        <v>41</v>
      </c>
      <c r="N78" s="25" t="s">
        <v>650</v>
      </c>
    </row>
    <row r="80" spans="12:16" x14ac:dyDescent="0.2">
      <c r="L80">
        <v>134</v>
      </c>
      <c r="M80" s="12" t="s">
        <v>39</v>
      </c>
      <c r="N80" s="12" t="s">
        <v>662</v>
      </c>
      <c r="O80" s="214" t="s">
        <v>673</v>
      </c>
      <c r="P80" s="215"/>
    </row>
    <row r="81" spans="12:16" x14ac:dyDescent="0.2">
      <c r="M81" s="15" t="s">
        <v>184</v>
      </c>
      <c r="N81" s="15" t="s">
        <v>651</v>
      </c>
    </row>
    <row r="82" spans="12:16" x14ac:dyDescent="0.2">
      <c r="M82" s="18" t="s">
        <v>286</v>
      </c>
      <c r="N82" s="18" t="s">
        <v>663</v>
      </c>
    </row>
    <row r="83" spans="12:16" x14ac:dyDescent="0.2">
      <c r="M83" s="15" t="s">
        <v>653</v>
      </c>
      <c r="N83" s="15" t="s">
        <v>6</v>
      </c>
    </row>
    <row r="84" spans="12:16" x14ac:dyDescent="0.2">
      <c r="M84" s="12" t="s">
        <v>41</v>
      </c>
      <c r="N84" s="15" t="s">
        <v>52</v>
      </c>
    </row>
    <row r="85" spans="12:16" x14ac:dyDescent="0.2">
      <c r="M85" s="12" t="s">
        <v>41</v>
      </c>
      <c r="N85" s="15" t="s">
        <v>650</v>
      </c>
    </row>
    <row r="87" spans="12:16" x14ac:dyDescent="0.2">
      <c r="L87">
        <v>135</v>
      </c>
      <c r="M87" s="26" t="s">
        <v>39</v>
      </c>
      <c r="N87" s="26" t="s">
        <v>662</v>
      </c>
      <c r="O87" s="210" t="s">
        <v>497</v>
      </c>
      <c r="P87" s="238"/>
    </row>
    <row r="88" spans="12:16" x14ac:dyDescent="0.2">
      <c r="M88" s="25" t="s">
        <v>184</v>
      </c>
      <c r="N88" s="25" t="s">
        <v>651</v>
      </c>
      <c r="O88" s="210"/>
      <c r="P88" s="238"/>
    </row>
    <row r="89" spans="12:16" x14ac:dyDescent="0.2">
      <c r="M89" s="25" t="s">
        <v>109</v>
      </c>
      <c r="N89" s="25" t="s">
        <v>663</v>
      </c>
      <c r="O89" s="210"/>
      <c r="P89" s="238"/>
    </row>
    <row r="90" spans="12:16" x14ac:dyDescent="0.2">
      <c r="M90" s="25" t="s">
        <v>296</v>
      </c>
      <c r="N90" s="25" t="s">
        <v>664</v>
      </c>
      <c r="O90" s="210"/>
      <c r="P90" s="238"/>
    </row>
    <row r="91" spans="12:16" x14ac:dyDescent="0.2">
      <c r="M91" s="26" t="s">
        <v>41</v>
      </c>
      <c r="N91" s="25" t="s">
        <v>52</v>
      </c>
    </row>
    <row r="92" spans="12:16" x14ac:dyDescent="0.2">
      <c r="M92" s="26" t="s">
        <v>41</v>
      </c>
      <c r="N92" s="25" t="s">
        <v>650</v>
      </c>
    </row>
    <row r="94" spans="12:16" x14ac:dyDescent="0.2">
      <c r="L94">
        <v>136</v>
      </c>
      <c r="M94" s="12" t="s">
        <v>39</v>
      </c>
      <c r="N94" s="12" t="s">
        <v>662</v>
      </c>
      <c r="O94" s="214" t="s">
        <v>674</v>
      </c>
      <c r="P94" s="215"/>
    </row>
    <row r="95" spans="12:16" x14ac:dyDescent="0.2">
      <c r="M95" s="15" t="s">
        <v>184</v>
      </c>
      <c r="N95" s="15" t="s">
        <v>651</v>
      </c>
    </row>
    <row r="96" spans="12:16" x14ac:dyDescent="0.2">
      <c r="M96" s="18" t="s">
        <v>286</v>
      </c>
      <c r="N96" s="18" t="s">
        <v>663</v>
      </c>
    </row>
    <row r="97" spans="12:16" x14ac:dyDescent="0.2">
      <c r="M97" s="15" t="s">
        <v>654</v>
      </c>
      <c r="N97" s="15" t="s">
        <v>472</v>
      </c>
    </row>
    <row r="98" spans="12:16" x14ac:dyDescent="0.2">
      <c r="M98" s="12" t="s">
        <v>41</v>
      </c>
      <c r="N98" s="15" t="s">
        <v>52</v>
      </c>
    </row>
    <row r="99" spans="12:16" x14ac:dyDescent="0.2">
      <c r="M99" s="12" t="s">
        <v>41</v>
      </c>
      <c r="N99" s="15" t="s">
        <v>650</v>
      </c>
    </row>
    <row r="101" spans="12:16" ht="12.75" customHeight="1" x14ac:dyDescent="0.2">
      <c r="L101">
        <v>137</v>
      </c>
      <c r="M101" s="12" t="s">
        <v>39</v>
      </c>
      <c r="N101" s="12" t="s">
        <v>662</v>
      </c>
      <c r="O101" s="214" t="s">
        <v>675</v>
      </c>
      <c r="P101" s="215"/>
    </row>
    <row r="102" spans="12:16" x14ac:dyDescent="0.2">
      <c r="M102" s="15" t="s">
        <v>184</v>
      </c>
      <c r="N102" s="15" t="s">
        <v>651</v>
      </c>
    </row>
    <row r="103" spans="12:16" x14ac:dyDescent="0.2">
      <c r="M103" s="15" t="s">
        <v>109</v>
      </c>
      <c r="N103" s="15" t="s">
        <v>663</v>
      </c>
    </row>
    <row r="104" spans="12:16" x14ac:dyDescent="0.2">
      <c r="M104" s="15" t="s">
        <v>671</v>
      </c>
      <c r="N104" s="15" t="s">
        <v>669</v>
      </c>
    </row>
    <row r="105" spans="12:16" x14ac:dyDescent="0.2">
      <c r="M105" s="12" t="s">
        <v>41</v>
      </c>
      <c r="N105" s="15" t="s">
        <v>52</v>
      </c>
    </row>
    <row r="106" spans="12:16" x14ac:dyDescent="0.2">
      <c r="M106" s="12" t="s">
        <v>41</v>
      </c>
      <c r="N106" s="15" t="s">
        <v>650</v>
      </c>
    </row>
    <row r="108" spans="12:16" ht="12.75" customHeight="1" x14ac:dyDescent="0.2">
      <c r="L108">
        <v>145</v>
      </c>
      <c r="M108" s="26" t="s">
        <v>39</v>
      </c>
      <c r="N108" s="26" t="s">
        <v>662</v>
      </c>
    </row>
    <row r="109" spans="12:16" x14ac:dyDescent="0.2">
      <c r="M109" s="25" t="s">
        <v>184</v>
      </c>
      <c r="N109" s="25" t="s">
        <v>651</v>
      </c>
    </row>
    <row r="110" spans="12:16" x14ac:dyDescent="0.2">
      <c r="M110" s="25" t="s">
        <v>653</v>
      </c>
      <c r="N110" s="25" t="s">
        <v>6</v>
      </c>
    </row>
    <row r="111" spans="12:16" x14ac:dyDescent="0.2">
      <c r="M111" s="25" t="s">
        <v>296</v>
      </c>
      <c r="N111" s="25" t="s">
        <v>664</v>
      </c>
    </row>
    <row r="112" spans="12:16" x14ac:dyDescent="0.2">
      <c r="M112" s="26" t="s">
        <v>41</v>
      </c>
      <c r="N112" s="25" t="s">
        <v>52</v>
      </c>
    </row>
    <row r="113" spans="12:16" x14ac:dyDescent="0.2">
      <c r="M113" s="26" t="s">
        <v>41</v>
      </c>
      <c r="N113" s="25" t="s">
        <v>650</v>
      </c>
    </row>
    <row r="115" spans="12:16" x14ac:dyDescent="0.2">
      <c r="L115">
        <v>146</v>
      </c>
      <c r="M115" s="26" t="s">
        <v>39</v>
      </c>
      <c r="N115" s="26" t="s">
        <v>662</v>
      </c>
      <c r="O115" s="210" t="s">
        <v>670</v>
      </c>
      <c r="P115" s="211"/>
    </row>
    <row r="116" spans="12:16" x14ac:dyDescent="0.2">
      <c r="M116" s="25" t="s">
        <v>184</v>
      </c>
      <c r="N116" s="25" t="s">
        <v>651</v>
      </c>
      <c r="O116" s="210"/>
      <c r="P116" s="211"/>
    </row>
    <row r="117" spans="12:16" x14ac:dyDescent="0.2">
      <c r="M117" s="25" t="s">
        <v>653</v>
      </c>
      <c r="N117" s="25" t="s">
        <v>6</v>
      </c>
      <c r="O117" s="210"/>
      <c r="P117" s="211"/>
    </row>
    <row r="118" spans="12:16" x14ac:dyDescent="0.2">
      <c r="M118" s="25" t="s">
        <v>654</v>
      </c>
      <c r="N118" s="25" t="s">
        <v>472</v>
      </c>
      <c r="O118" s="210"/>
      <c r="P118" s="211"/>
    </row>
    <row r="119" spans="12:16" x14ac:dyDescent="0.2">
      <c r="M119" s="26" t="s">
        <v>41</v>
      </c>
      <c r="N119" s="25" t="s">
        <v>52</v>
      </c>
    </row>
    <row r="120" spans="12:16" x14ac:dyDescent="0.2">
      <c r="M120" s="26" t="s">
        <v>41</v>
      </c>
      <c r="N120" s="25" t="s">
        <v>650</v>
      </c>
    </row>
    <row r="122" spans="12:16" x14ac:dyDescent="0.2">
      <c r="L122">
        <v>147</v>
      </c>
      <c r="M122" s="26" t="s">
        <v>39</v>
      </c>
      <c r="N122" s="26" t="s">
        <v>662</v>
      </c>
    </row>
    <row r="123" spans="12:16" x14ac:dyDescent="0.2">
      <c r="M123" s="25" t="s">
        <v>184</v>
      </c>
      <c r="N123" s="25" t="s">
        <v>651</v>
      </c>
    </row>
    <row r="124" spans="12:16" x14ac:dyDescent="0.2">
      <c r="M124" s="25" t="s">
        <v>653</v>
      </c>
      <c r="N124" s="25" t="s">
        <v>6</v>
      </c>
    </row>
    <row r="125" spans="12:16" x14ac:dyDescent="0.2">
      <c r="M125" s="25" t="s">
        <v>671</v>
      </c>
      <c r="N125" s="25" t="s">
        <v>669</v>
      </c>
    </row>
    <row r="126" spans="12:16" x14ac:dyDescent="0.2">
      <c r="M126" s="26" t="s">
        <v>41</v>
      </c>
      <c r="N126" s="25" t="s">
        <v>52</v>
      </c>
    </row>
    <row r="127" spans="12:16" x14ac:dyDescent="0.2">
      <c r="M127" s="26" t="s">
        <v>41</v>
      </c>
      <c r="N127" s="25" t="s">
        <v>650</v>
      </c>
    </row>
    <row r="129" spans="12:14" x14ac:dyDescent="0.2">
      <c r="L129">
        <v>156</v>
      </c>
      <c r="M129" s="26" t="s">
        <v>39</v>
      </c>
      <c r="N129" s="26" t="s">
        <v>662</v>
      </c>
    </row>
    <row r="130" spans="12:14" x14ac:dyDescent="0.2">
      <c r="M130" s="25" t="s">
        <v>184</v>
      </c>
      <c r="N130" s="25" t="s">
        <v>651</v>
      </c>
    </row>
    <row r="131" spans="12:14" x14ac:dyDescent="0.2">
      <c r="M131" s="25" t="s">
        <v>296</v>
      </c>
      <c r="N131" s="25" t="s">
        <v>664</v>
      </c>
    </row>
    <row r="132" spans="12:14" x14ac:dyDescent="0.2">
      <c r="M132" s="25" t="s">
        <v>654</v>
      </c>
      <c r="N132" s="25" t="s">
        <v>472</v>
      </c>
    </row>
    <row r="133" spans="12:14" x14ac:dyDescent="0.2">
      <c r="M133" s="26" t="s">
        <v>41</v>
      </c>
      <c r="N133" s="25" t="s">
        <v>52</v>
      </c>
    </row>
    <row r="134" spans="12:14" x14ac:dyDescent="0.2">
      <c r="M134" s="26" t="s">
        <v>41</v>
      </c>
      <c r="N134" s="25" t="s">
        <v>650</v>
      </c>
    </row>
    <row r="136" spans="12:14" x14ac:dyDescent="0.2">
      <c r="L136">
        <v>157</v>
      </c>
      <c r="M136" s="26" t="s">
        <v>39</v>
      </c>
      <c r="N136" s="26" t="s">
        <v>662</v>
      </c>
    </row>
    <row r="137" spans="12:14" x14ac:dyDescent="0.2">
      <c r="M137" s="25" t="s">
        <v>184</v>
      </c>
      <c r="N137" s="25" t="s">
        <v>651</v>
      </c>
    </row>
    <row r="138" spans="12:14" x14ac:dyDescent="0.2">
      <c r="M138" s="25" t="s">
        <v>296</v>
      </c>
      <c r="N138" s="25" t="s">
        <v>664</v>
      </c>
    </row>
    <row r="139" spans="12:14" x14ac:dyDescent="0.2">
      <c r="M139" s="25" t="s">
        <v>671</v>
      </c>
      <c r="N139" s="25" t="s">
        <v>669</v>
      </c>
    </row>
    <row r="140" spans="12:14" x14ac:dyDescent="0.2">
      <c r="M140" s="26" t="s">
        <v>41</v>
      </c>
      <c r="N140" s="25" t="s">
        <v>52</v>
      </c>
    </row>
    <row r="141" spans="12:14" x14ac:dyDescent="0.2">
      <c r="M141" s="26" t="s">
        <v>41</v>
      </c>
      <c r="N141" s="25" t="s">
        <v>650</v>
      </c>
    </row>
    <row r="143" spans="12:14" x14ac:dyDescent="0.2">
      <c r="L143">
        <v>167</v>
      </c>
      <c r="M143" s="26" t="s">
        <v>39</v>
      </c>
      <c r="N143" s="26" t="s">
        <v>662</v>
      </c>
    </row>
    <row r="144" spans="12:14" x14ac:dyDescent="0.2">
      <c r="M144" s="25" t="s">
        <v>184</v>
      </c>
      <c r="N144" s="25" t="s">
        <v>651</v>
      </c>
    </row>
    <row r="145" spans="12:16" x14ac:dyDescent="0.2">
      <c r="M145" s="25" t="s">
        <v>654</v>
      </c>
      <c r="N145" s="25" t="s">
        <v>472</v>
      </c>
    </row>
    <row r="146" spans="12:16" x14ac:dyDescent="0.2">
      <c r="M146" s="25" t="s">
        <v>671</v>
      </c>
      <c r="N146" s="25" t="s">
        <v>669</v>
      </c>
    </row>
    <row r="147" spans="12:16" x14ac:dyDescent="0.2">
      <c r="M147" s="26" t="s">
        <v>41</v>
      </c>
      <c r="N147" s="25" t="s">
        <v>52</v>
      </c>
    </row>
    <row r="148" spans="12:16" x14ac:dyDescent="0.2">
      <c r="M148" s="26" t="s">
        <v>41</v>
      </c>
      <c r="N148" s="25" t="s">
        <v>650</v>
      </c>
    </row>
    <row r="150" spans="12:16" x14ac:dyDescent="0.2">
      <c r="L150">
        <v>234</v>
      </c>
      <c r="M150" s="12" t="s">
        <v>39</v>
      </c>
      <c r="N150" s="12" t="s">
        <v>662</v>
      </c>
      <c r="O150" s="214" t="s">
        <v>676</v>
      </c>
      <c r="P150" s="215"/>
    </row>
    <row r="151" spans="12:16" x14ac:dyDescent="0.2">
      <c r="M151" s="15" t="s">
        <v>18</v>
      </c>
      <c r="N151" s="15" t="s">
        <v>652</v>
      </c>
    </row>
    <row r="152" spans="12:16" x14ac:dyDescent="0.2">
      <c r="M152" s="18" t="s">
        <v>286</v>
      </c>
      <c r="N152" s="18" t="s">
        <v>663</v>
      </c>
    </row>
    <row r="153" spans="12:16" x14ac:dyDescent="0.2">
      <c r="M153" s="15" t="s">
        <v>653</v>
      </c>
      <c r="N153" s="15" t="s">
        <v>6</v>
      </c>
    </row>
    <row r="154" spans="12:16" x14ac:dyDescent="0.2">
      <c r="M154" s="12" t="s">
        <v>41</v>
      </c>
      <c r="N154" s="15" t="s">
        <v>52</v>
      </c>
    </row>
    <row r="155" spans="12:16" x14ac:dyDescent="0.2">
      <c r="M155" s="12" t="s">
        <v>41</v>
      </c>
      <c r="N155" s="15" t="s">
        <v>650</v>
      </c>
    </row>
    <row r="157" spans="12:16" x14ac:dyDescent="0.2">
      <c r="L157">
        <v>235</v>
      </c>
      <c r="M157" s="26" t="s">
        <v>39</v>
      </c>
      <c r="N157" s="26" t="s">
        <v>662</v>
      </c>
      <c r="O157" s="84"/>
      <c r="P157" s="70"/>
    </row>
    <row r="158" spans="12:16" x14ac:dyDescent="0.2">
      <c r="M158" s="25" t="s">
        <v>18</v>
      </c>
      <c r="N158" s="25" t="s">
        <v>652</v>
      </c>
      <c r="O158" s="84"/>
      <c r="P158" s="70"/>
    </row>
    <row r="159" spans="12:16" x14ac:dyDescent="0.2">
      <c r="M159" s="25" t="s">
        <v>109</v>
      </c>
      <c r="N159" s="25" t="s">
        <v>663</v>
      </c>
      <c r="O159" s="84"/>
      <c r="P159" s="70"/>
    </row>
    <row r="160" spans="12:16" x14ac:dyDescent="0.2">
      <c r="M160" s="25" t="s">
        <v>296</v>
      </c>
      <c r="N160" s="25" t="s">
        <v>664</v>
      </c>
      <c r="O160" s="84"/>
      <c r="P160" s="70"/>
    </row>
    <row r="161" spans="12:16" x14ac:dyDescent="0.2">
      <c r="M161" s="26" t="s">
        <v>41</v>
      </c>
      <c r="N161" s="25" t="s">
        <v>52</v>
      </c>
    </row>
    <row r="162" spans="12:16" x14ac:dyDescent="0.2">
      <c r="M162" s="26" t="s">
        <v>41</v>
      </c>
      <c r="N162" s="25" t="s">
        <v>650</v>
      </c>
    </row>
    <row r="164" spans="12:16" x14ac:dyDescent="0.2">
      <c r="L164">
        <v>236</v>
      </c>
      <c r="M164" s="12" t="s">
        <v>39</v>
      </c>
      <c r="N164" s="12" t="s">
        <v>662</v>
      </c>
      <c r="O164" s="214" t="s">
        <v>677</v>
      </c>
      <c r="P164" s="215"/>
    </row>
    <row r="165" spans="12:16" x14ac:dyDescent="0.2">
      <c r="M165" s="15" t="s">
        <v>18</v>
      </c>
      <c r="N165" s="15" t="s">
        <v>652</v>
      </c>
    </row>
    <row r="166" spans="12:16" x14ac:dyDescent="0.2">
      <c r="M166" s="18" t="s">
        <v>286</v>
      </c>
      <c r="N166" s="18" t="s">
        <v>663</v>
      </c>
    </row>
    <row r="167" spans="12:16" x14ac:dyDescent="0.2">
      <c r="M167" s="15" t="s">
        <v>654</v>
      </c>
      <c r="N167" s="15" t="s">
        <v>472</v>
      </c>
    </row>
    <row r="168" spans="12:16" x14ac:dyDescent="0.2">
      <c r="M168" s="12" t="s">
        <v>41</v>
      </c>
      <c r="N168" s="15" t="s">
        <v>52</v>
      </c>
    </row>
    <row r="169" spans="12:16" x14ac:dyDescent="0.2">
      <c r="M169" s="12" t="s">
        <v>41</v>
      </c>
      <c r="N169" s="15" t="s">
        <v>650</v>
      </c>
    </row>
    <row r="171" spans="12:16" x14ac:dyDescent="0.2">
      <c r="L171">
        <v>237</v>
      </c>
      <c r="M171" s="26" t="s">
        <v>39</v>
      </c>
      <c r="N171" s="26" t="s">
        <v>662</v>
      </c>
    </row>
    <row r="172" spans="12:16" x14ac:dyDescent="0.2">
      <c r="M172" s="25" t="s">
        <v>18</v>
      </c>
      <c r="N172" s="25" t="s">
        <v>652</v>
      </c>
    </row>
    <row r="173" spans="12:16" x14ac:dyDescent="0.2">
      <c r="M173" s="25" t="s">
        <v>109</v>
      </c>
      <c r="N173" s="25" t="s">
        <v>663</v>
      </c>
    </row>
    <row r="174" spans="12:16" x14ac:dyDescent="0.2">
      <c r="M174" s="25" t="s">
        <v>671</v>
      </c>
      <c r="N174" s="25" t="s">
        <v>669</v>
      </c>
    </row>
    <row r="175" spans="12:16" x14ac:dyDescent="0.2">
      <c r="M175" s="26" t="s">
        <v>41</v>
      </c>
      <c r="N175" s="25" t="s">
        <v>52</v>
      </c>
    </row>
    <row r="176" spans="12:16" x14ac:dyDescent="0.2">
      <c r="M176" s="26" t="s">
        <v>41</v>
      </c>
      <c r="N176" s="25" t="s">
        <v>650</v>
      </c>
    </row>
    <row r="178" spans="12:16" x14ac:dyDescent="0.2">
      <c r="L178">
        <v>245</v>
      </c>
      <c r="M178" s="26" t="s">
        <v>39</v>
      </c>
      <c r="N178" s="26" t="s">
        <v>662</v>
      </c>
    </row>
    <row r="179" spans="12:16" x14ac:dyDescent="0.2">
      <c r="M179" s="25" t="s">
        <v>18</v>
      </c>
      <c r="N179" s="25" t="s">
        <v>652</v>
      </c>
    </row>
    <row r="180" spans="12:16" x14ac:dyDescent="0.2">
      <c r="M180" s="25" t="s">
        <v>653</v>
      </c>
      <c r="N180" s="25" t="s">
        <v>6</v>
      </c>
    </row>
    <row r="181" spans="12:16" x14ac:dyDescent="0.2">
      <c r="M181" s="25" t="s">
        <v>296</v>
      </c>
      <c r="N181" s="25" t="s">
        <v>664</v>
      </c>
    </row>
    <row r="182" spans="12:16" x14ac:dyDescent="0.2">
      <c r="M182" s="26" t="s">
        <v>41</v>
      </c>
      <c r="N182" s="25" t="s">
        <v>52</v>
      </c>
    </row>
    <row r="183" spans="12:16" x14ac:dyDescent="0.2">
      <c r="M183" s="26" t="s">
        <v>41</v>
      </c>
      <c r="N183" s="25" t="s">
        <v>650</v>
      </c>
    </row>
    <row r="185" spans="12:16" x14ac:dyDescent="0.2">
      <c r="L185">
        <v>246</v>
      </c>
      <c r="M185" s="26" t="s">
        <v>39</v>
      </c>
      <c r="N185" s="26" t="s">
        <v>662</v>
      </c>
      <c r="O185" s="210" t="s">
        <v>670</v>
      </c>
      <c r="P185" s="211"/>
    </row>
    <row r="186" spans="12:16" x14ac:dyDescent="0.2">
      <c r="M186" s="25" t="s">
        <v>18</v>
      </c>
      <c r="N186" s="25" t="s">
        <v>652</v>
      </c>
      <c r="O186" s="210"/>
      <c r="P186" s="211"/>
    </row>
    <row r="187" spans="12:16" x14ac:dyDescent="0.2">
      <c r="M187" s="25" t="s">
        <v>653</v>
      </c>
      <c r="N187" s="25" t="s">
        <v>6</v>
      </c>
      <c r="O187" s="210"/>
      <c r="P187" s="211"/>
    </row>
    <row r="188" spans="12:16" x14ac:dyDescent="0.2">
      <c r="M188" s="25" t="s">
        <v>654</v>
      </c>
      <c r="N188" s="25" t="s">
        <v>472</v>
      </c>
      <c r="O188" s="210"/>
      <c r="P188" s="211"/>
    </row>
    <row r="189" spans="12:16" x14ac:dyDescent="0.2">
      <c r="M189" s="26" t="s">
        <v>41</v>
      </c>
      <c r="N189" s="25" t="s">
        <v>52</v>
      </c>
    </row>
    <row r="190" spans="12:16" x14ac:dyDescent="0.2">
      <c r="M190" s="26" t="s">
        <v>41</v>
      </c>
      <c r="N190" s="25" t="s">
        <v>650</v>
      </c>
    </row>
    <row r="192" spans="12:16" x14ac:dyDescent="0.2">
      <c r="L192">
        <v>247</v>
      </c>
      <c r="M192" s="26" t="s">
        <v>39</v>
      </c>
      <c r="N192" s="26" t="s">
        <v>662</v>
      </c>
    </row>
    <row r="193" spans="12:14" x14ac:dyDescent="0.2">
      <c r="M193" s="25" t="s">
        <v>18</v>
      </c>
      <c r="N193" s="25" t="s">
        <v>652</v>
      </c>
    </row>
    <row r="194" spans="12:14" x14ac:dyDescent="0.2">
      <c r="M194" s="25" t="s">
        <v>653</v>
      </c>
      <c r="N194" s="25" t="s">
        <v>6</v>
      </c>
    </row>
    <row r="195" spans="12:14" x14ac:dyDescent="0.2">
      <c r="M195" s="25" t="s">
        <v>671</v>
      </c>
      <c r="N195" s="25" t="s">
        <v>669</v>
      </c>
    </row>
    <row r="196" spans="12:14" x14ac:dyDescent="0.2">
      <c r="M196" s="26" t="s">
        <v>41</v>
      </c>
      <c r="N196" s="25" t="s">
        <v>52</v>
      </c>
    </row>
    <row r="197" spans="12:14" x14ac:dyDescent="0.2">
      <c r="M197" s="26" t="s">
        <v>41</v>
      </c>
      <c r="N197" s="25" t="s">
        <v>650</v>
      </c>
    </row>
    <row r="199" spans="12:14" x14ac:dyDescent="0.2">
      <c r="L199">
        <v>256</v>
      </c>
      <c r="M199" s="26" t="s">
        <v>39</v>
      </c>
      <c r="N199" s="26" t="s">
        <v>662</v>
      </c>
    </row>
    <row r="200" spans="12:14" x14ac:dyDescent="0.2">
      <c r="M200" s="25" t="s">
        <v>18</v>
      </c>
      <c r="N200" s="25" t="s">
        <v>652</v>
      </c>
    </row>
    <row r="201" spans="12:14" x14ac:dyDescent="0.2">
      <c r="M201" s="25" t="s">
        <v>296</v>
      </c>
      <c r="N201" s="25" t="s">
        <v>664</v>
      </c>
    </row>
    <row r="202" spans="12:14" x14ac:dyDescent="0.2">
      <c r="M202" s="25" t="s">
        <v>654</v>
      </c>
      <c r="N202" s="25" t="s">
        <v>472</v>
      </c>
    </row>
    <row r="203" spans="12:14" x14ac:dyDescent="0.2">
      <c r="M203" s="26" t="s">
        <v>41</v>
      </c>
      <c r="N203" s="25" t="s">
        <v>52</v>
      </c>
    </row>
    <row r="204" spans="12:14" x14ac:dyDescent="0.2">
      <c r="M204" s="26" t="s">
        <v>41</v>
      </c>
      <c r="N204" s="25" t="s">
        <v>650</v>
      </c>
    </row>
    <row r="206" spans="12:14" x14ac:dyDescent="0.2">
      <c r="L206">
        <v>257</v>
      </c>
      <c r="M206" s="26" t="s">
        <v>39</v>
      </c>
      <c r="N206" s="26" t="s">
        <v>662</v>
      </c>
    </row>
    <row r="207" spans="12:14" x14ac:dyDescent="0.2">
      <c r="M207" s="25" t="s">
        <v>18</v>
      </c>
      <c r="N207" s="25" t="s">
        <v>652</v>
      </c>
    </row>
    <row r="208" spans="12:14" x14ac:dyDescent="0.2">
      <c r="M208" s="25" t="s">
        <v>296</v>
      </c>
      <c r="N208" s="25" t="s">
        <v>664</v>
      </c>
    </row>
    <row r="209" spans="12:14" x14ac:dyDescent="0.2">
      <c r="M209" s="25" t="s">
        <v>671</v>
      </c>
      <c r="N209" s="25" t="s">
        <v>669</v>
      </c>
    </row>
    <row r="210" spans="12:14" x14ac:dyDescent="0.2">
      <c r="M210" s="26" t="s">
        <v>41</v>
      </c>
      <c r="N210" s="25" t="s">
        <v>52</v>
      </c>
    </row>
    <row r="211" spans="12:14" x14ac:dyDescent="0.2">
      <c r="M211" s="26" t="s">
        <v>41</v>
      </c>
      <c r="N211" s="25" t="s">
        <v>650</v>
      </c>
    </row>
    <row r="213" spans="12:14" x14ac:dyDescent="0.2">
      <c r="L213">
        <v>267</v>
      </c>
      <c r="M213" s="26" t="s">
        <v>39</v>
      </c>
      <c r="N213" s="26" t="s">
        <v>662</v>
      </c>
    </row>
    <row r="214" spans="12:14" x14ac:dyDescent="0.2">
      <c r="M214" s="25" t="s">
        <v>18</v>
      </c>
      <c r="N214" s="25" t="s">
        <v>652</v>
      </c>
    </row>
    <row r="215" spans="12:14" x14ac:dyDescent="0.2">
      <c r="M215" s="25" t="s">
        <v>654</v>
      </c>
      <c r="N215" s="25" t="s">
        <v>472</v>
      </c>
    </row>
    <row r="216" spans="12:14" x14ac:dyDescent="0.2">
      <c r="M216" s="25" t="s">
        <v>671</v>
      </c>
      <c r="N216" s="25" t="s">
        <v>669</v>
      </c>
    </row>
    <row r="217" spans="12:14" x14ac:dyDescent="0.2">
      <c r="M217" s="26" t="s">
        <v>41</v>
      </c>
      <c r="N217" s="25" t="s">
        <v>52</v>
      </c>
    </row>
    <row r="218" spans="12:14" x14ac:dyDescent="0.2">
      <c r="M218" s="26" t="s">
        <v>41</v>
      </c>
      <c r="N218" s="25" t="s">
        <v>650</v>
      </c>
    </row>
    <row r="220" spans="12:14" x14ac:dyDescent="0.2">
      <c r="L220">
        <v>345</v>
      </c>
      <c r="M220" s="26" t="s">
        <v>39</v>
      </c>
      <c r="N220" s="26" t="s">
        <v>662</v>
      </c>
    </row>
    <row r="221" spans="12:14" x14ac:dyDescent="0.2">
      <c r="M221" s="25" t="s">
        <v>109</v>
      </c>
      <c r="N221" s="25" t="s">
        <v>663</v>
      </c>
    </row>
    <row r="222" spans="12:14" x14ac:dyDescent="0.2">
      <c r="M222" s="25" t="s">
        <v>653</v>
      </c>
      <c r="N222" s="25" t="s">
        <v>6</v>
      </c>
    </row>
    <row r="223" spans="12:14" x14ac:dyDescent="0.2">
      <c r="M223" s="25" t="s">
        <v>296</v>
      </c>
      <c r="N223" s="25" t="s">
        <v>664</v>
      </c>
    </row>
    <row r="224" spans="12:14" x14ac:dyDescent="0.2">
      <c r="M224" s="26" t="s">
        <v>41</v>
      </c>
      <c r="N224" s="25" t="s">
        <v>52</v>
      </c>
    </row>
    <row r="225" spans="12:14" x14ac:dyDescent="0.2">
      <c r="M225" s="26" t="s">
        <v>41</v>
      </c>
      <c r="N225" s="25" t="s">
        <v>650</v>
      </c>
    </row>
    <row r="227" spans="12:14" x14ac:dyDescent="0.2">
      <c r="L227">
        <v>346</v>
      </c>
      <c r="M227" s="26" t="s">
        <v>39</v>
      </c>
      <c r="N227" s="26" t="s">
        <v>662</v>
      </c>
    </row>
    <row r="228" spans="12:14" x14ac:dyDescent="0.2">
      <c r="M228" s="25" t="s">
        <v>109</v>
      </c>
      <c r="N228" s="25" t="s">
        <v>663</v>
      </c>
    </row>
    <row r="229" spans="12:14" x14ac:dyDescent="0.2">
      <c r="M229" s="25" t="s">
        <v>653</v>
      </c>
      <c r="N229" s="25" t="s">
        <v>6</v>
      </c>
    </row>
    <row r="230" spans="12:14" x14ac:dyDescent="0.2">
      <c r="M230" s="25" t="s">
        <v>654</v>
      </c>
      <c r="N230" s="25" t="s">
        <v>472</v>
      </c>
    </row>
    <row r="231" spans="12:14" x14ac:dyDescent="0.2">
      <c r="M231" s="26" t="s">
        <v>41</v>
      </c>
      <c r="N231" s="25" t="s">
        <v>52</v>
      </c>
    </row>
    <row r="232" spans="12:14" x14ac:dyDescent="0.2">
      <c r="M232" s="26" t="s">
        <v>41</v>
      </c>
      <c r="N232" s="25" t="s">
        <v>650</v>
      </c>
    </row>
    <row r="234" spans="12:14" x14ac:dyDescent="0.2">
      <c r="L234">
        <v>347</v>
      </c>
      <c r="M234" s="26" t="s">
        <v>39</v>
      </c>
      <c r="N234" s="26" t="s">
        <v>662</v>
      </c>
    </row>
    <row r="235" spans="12:14" x14ac:dyDescent="0.2">
      <c r="M235" s="25" t="s">
        <v>109</v>
      </c>
      <c r="N235" s="25" t="s">
        <v>663</v>
      </c>
    </row>
    <row r="236" spans="12:14" x14ac:dyDescent="0.2">
      <c r="M236" s="25" t="s">
        <v>653</v>
      </c>
      <c r="N236" s="25" t="s">
        <v>6</v>
      </c>
    </row>
    <row r="237" spans="12:14" x14ac:dyDescent="0.2">
      <c r="M237" s="25" t="s">
        <v>671</v>
      </c>
      <c r="N237" s="25" t="s">
        <v>669</v>
      </c>
    </row>
    <row r="238" spans="12:14" x14ac:dyDescent="0.2">
      <c r="M238" s="26" t="s">
        <v>41</v>
      </c>
      <c r="N238" s="25" t="s">
        <v>52</v>
      </c>
    </row>
    <row r="239" spans="12:14" x14ac:dyDescent="0.2">
      <c r="M239" s="26" t="s">
        <v>41</v>
      </c>
      <c r="N239" s="25" t="s">
        <v>650</v>
      </c>
    </row>
    <row r="241" spans="12:16" x14ac:dyDescent="0.2">
      <c r="L241">
        <v>356</v>
      </c>
      <c r="M241" s="26" t="s">
        <v>39</v>
      </c>
      <c r="N241" s="26" t="s">
        <v>662</v>
      </c>
    </row>
    <row r="242" spans="12:16" x14ac:dyDescent="0.2">
      <c r="M242" s="25" t="s">
        <v>109</v>
      </c>
      <c r="N242" s="25" t="s">
        <v>663</v>
      </c>
    </row>
    <row r="243" spans="12:16" x14ac:dyDescent="0.2">
      <c r="M243" s="25" t="s">
        <v>296</v>
      </c>
      <c r="N243" s="25" t="s">
        <v>664</v>
      </c>
    </row>
    <row r="244" spans="12:16" x14ac:dyDescent="0.2">
      <c r="M244" s="25" t="s">
        <v>654</v>
      </c>
      <c r="N244" s="25" t="s">
        <v>472</v>
      </c>
    </row>
    <row r="245" spans="12:16" x14ac:dyDescent="0.2">
      <c r="M245" s="26" t="s">
        <v>41</v>
      </c>
      <c r="N245" s="25" t="s">
        <v>52</v>
      </c>
    </row>
    <row r="246" spans="12:16" x14ac:dyDescent="0.2">
      <c r="M246" s="26" t="s">
        <v>41</v>
      </c>
      <c r="N246" s="25" t="s">
        <v>650</v>
      </c>
    </row>
    <row r="248" spans="12:16" x14ac:dyDescent="0.2">
      <c r="L248">
        <v>357</v>
      </c>
      <c r="M248" s="26" t="s">
        <v>39</v>
      </c>
      <c r="N248" s="26" t="s">
        <v>662</v>
      </c>
      <c r="O248" s="210" t="s">
        <v>497</v>
      </c>
      <c r="P248" s="238"/>
    </row>
    <row r="249" spans="12:16" x14ac:dyDescent="0.2">
      <c r="M249" s="25" t="s">
        <v>109</v>
      </c>
      <c r="N249" s="25" t="s">
        <v>663</v>
      </c>
      <c r="O249" s="210"/>
      <c r="P249" s="238"/>
    </row>
    <row r="250" spans="12:16" x14ac:dyDescent="0.2">
      <c r="M250" s="25" t="s">
        <v>296</v>
      </c>
      <c r="N250" s="25" t="s">
        <v>664</v>
      </c>
      <c r="O250" s="210"/>
      <c r="P250" s="238"/>
    </row>
    <row r="251" spans="12:16" x14ac:dyDescent="0.2">
      <c r="M251" s="25" t="s">
        <v>668</v>
      </c>
      <c r="N251" s="25" t="s">
        <v>669</v>
      </c>
      <c r="O251" s="210"/>
      <c r="P251" s="238"/>
    </row>
    <row r="252" spans="12:16" x14ac:dyDescent="0.2">
      <c r="M252" s="26" t="s">
        <v>41</v>
      </c>
      <c r="N252" s="25" t="s">
        <v>52</v>
      </c>
    </row>
    <row r="253" spans="12:16" x14ac:dyDescent="0.2">
      <c r="M253" s="26" t="s">
        <v>41</v>
      </c>
      <c r="N253" s="25" t="s">
        <v>650</v>
      </c>
    </row>
    <row r="255" spans="12:16" x14ac:dyDescent="0.2">
      <c r="L255">
        <v>367</v>
      </c>
      <c r="M255" s="26" t="s">
        <v>39</v>
      </c>
      <c r="N255" s="26" t="s">
        <v>662</v>
      </c>
    </row>
    <row r="256" spans="12:16" x14ac:dyDescent="0.2">
      <c r="M256" s="25" t="s">
        <v>109</v>
      </c>
      <c r="N256" s="25" t="s">
        <v>663</v>
      </c>
    </row>
    <row r="257" spans="12:16" x14ac:dyDescent="0.2">
      <c r="M257" s="25" t="s">
        <v>654</v>
      </c>
      <c r="N257" s="25" t="s">
        <v>472</v>
      </c>
    </row>
    <row r="258" spans="12:16" x14ac:dyDescent="0.2">
      <c r="M258" s="25" t="s">
        <v>671</v>
      </c>
      <c r="N258" s="25" t="s">
        <v>669</v>
      </c>
    </row>
    <row r="259" spans="12:16" x14ac:dyDescent="0.2">
      <c r="M259" s="26" t="s">
        <v>41</v>
      </c>
      <c r="N259" s="25" t="s">
        <v>52</v>
      </c>
    </row>
    <row r="260" spans="12:16" x14ac:dyDescent="0.2">
      <c r="M260" s="26" t="s">
        <v>41</v>
      </c>
      <c r="N260" s="25" t="s">
        <v>650</v>
      </c>
    </row>
    <row r="262" spans="12:16" x14ac:dyDescent="0.2">
      <c r="L262">
        <v>456</v>
      </c>
      <c r="M262" s="26" t="s">
        <v>39</v>
      </c>
      <c r="N262" s="26" t="s">
        <v>662</v>
      </c>
    </row>
    <row r="263" spans="12:16" x14ac:dyDescent="0.2">
      <c r="M263" s="25" t="s">
        <v>653</v>
      </c>
      <c r="N263" s="25" t="s">
        <v>6</v>
      </c>
    </row>
    <row r="264" spans="12:16" x14ac:dyDescent="0.2">
      <c r="M264" s="25" t="s">
        <v>296</v>
      </c>
      <c r="N264" s="25" t="s">
        <v>664</v>
      </c>
    </row>
    <row r="265" spans="12:16" x14ac:dyDescent="0.2">
      <c r="M265" s="25" t="s">
        <v>654</v>
      </c>
      <c r="N265" s="25" t="s">
        <v>472</v>
      </c>
    </row>
    <row r="266" spans="12:16" x14ac:dyDescent="0.2">
      <c r="M266" s="26" t="s">
        <v>41</v>
      </c>
      <c r="N266" s="25" t="s">
        <v>52</v>
      </c>
    </row>
    <row r="267" spans="12:16" x14ac:dyDescent="0.2">
      <c r="M267" s="26" t="s">
        <v>41</v>
      </c>
      <c r="N267" s="25" t="s">
        <v>650</v>
      </c>
    </row>
    <row r="269" spans="12:16" ht="12.75" customHeight="1" x14ac:dyDescent="0.2">
      <c r="L269">
        <v>457</v>
      </c>
      <c r="M269" s="26" t="s">
        <v>39</v>
      </c>
      <c r="N269" s="26" t="s">
        <v>662</v>
      </c>
      <c r="O269" s="210" t="s">
        <v>498</v>
      </c>
      <c r="P269" s="211"/>
    </row>
    <row r="270" spans="12:16" x14ac:dyDescent="0.2">
      <c r="M270" s="25" t="s">
        <v>653</v>
      </c>
      <c r="N270" s="25" t="s">
        <v>6</v>
      </c>
      <c r="O270" s="210"/>
      <c r="P270" s="211"/>
    </row>
    <row r="271" spans="12:16" x14ac:dyDescent="0.2">
      <c r="M271" s="25" t="s">
        <v>296</v>
      </c>
      <c r="N271" s="25" t="s">
        <v>664</v>
      </c>
      <c r="O271" s="210"/>
      <c r="P271" s="211"/>
    </row>
    <row r="272" spans="12:16" x14ac:dyDescent="0.2">
      <c r="M272" s="25" t="s">
        <v>671</v>
      </c>
      <c r="N272" s="25" t="s">
        <v>669</v>
      </c>
      <c r="O272" s="210"/>
      <c r="P272" s="211"/>
    </row>
    <row r="273" spans="12:14" x14ac:dyDescent="0.2">
      <c r="M273" s="26" t="s">
        <v>41</v>
      </c>
      <c r="N273" s="25" t="s">
        <v>52</v>
      </c>
    </row>
    <row r="274" spans="12:14" x14ac:dyDescent="0.2">
      <c r="M274" s="26" t="s">
        <v>41</v>
      </c>
      <c r="N274" s="25" t="s">
        <v>650</v>
      </c>
    </row>
    <row r="276" spans="12:14" ht="12.75" customHeight="1" x14ac:dyDescent="0.2">
      <c r="L276">
        <v>467</v>
      </c>
      <c r="M276" s="26" t="s">
        <v>39</v>
      </c>
      <c r="N276" s="26" t="s">
        <v>662</v>
      </c>
    </row>
    <row r="277" spans="12:14" x14ac:dyDescent="0.2">
      <c r="M277" s="25" t="s">
        <v>653</v>
      </c>
      <c r="N277" s="25" t="s">
        <v>6</v>
      </c>
    </row>
    <row r="278" spans="12:14" x14ac:dyDescent="0.2">
      <c r="M278" s="25" t="s">
        <v>654</v>
      </c>
      <c r="N278" s="25" t="s">
        <v>472</v>
      </c>
    </row>
    <row r="279" spans="12:14" x14ac:dyDescent="0.2">
      <c r="M279" s="25" t="s">
        <v>671</v>
      </c>
      <c r="N279" s="25" t="s">
        <v>669</v>
      </c>
    </row>
    <row r="280" spans="12:14" x14ac:dyDescent="0.2">
      <c r="M280" s="26" t="s">
        <v>41</v>
      </c>
      <c r="N280" s="25" t="s">
        <v>52</v>
      </c>
    </row>
    <row r="281" spans="12:14" x14ac:dyDescent="0.2">
      <c r="M281" s="26" t="s">
        <v>41</v>
      </c>
      <c r="N281" s="25" t="s">
        <v>650</v>
      </c>
    </row>
    <row r="283" spans="12:14" x14ac:dyDescent="0.2">
      <c r="L283">
        <v>567</v>
      </c>
      <c r="M283" s="26" t="s">
        <v>39</v>
      </c>
      <c r="N283" s="26" t="s">
        <v>662</v>
      </c>
    </row>
    <row r="284" spans="12:14" x14ac:dyDescent="0.2">
      <c r="M284" s="25" t="s">
        <v>296</v>
      </c>
      <c r="N284" s="25" t="s">
        <v>664</v>
      </c>
    </row>
    <row r="285" spans="12:14" x14ac:dyDescent="0.2">
      <c r="M285" s="25" t="s">
        <v>654</v>
      </c>
      <c r="N285" s="25" t="s">
        <v>472</v>
      </c>
    </row>
    <row r="286" spans="12:14" x14ac:dyDescent="0.2">
      <c r="M286" s="25" t="s">
        <v>671</v>
      </c>
      <c r="N286" s="25" t="s">
        <v>669</v>
      </c>
    </row>
    <row r="287" spans="12:14" x14ac:dyDescent="0.2">
      <c r="M287" s="26" t="s">
        <v>41</v>
      </c>
      <c r="N287" s="25" t="s">
        <v>52</v>
      </c>
    </row>
    <row r="288" spans="12:14" x14ac:dyDescent="0.2">
      <c r="M288" s="26" t="s">
        <v>41</v>
      </c>
      <c r="N288" s="25" t="s">
        <v>650</v>
      </c>
    </row>
  </sheetData>
  <mergeCells count="39">
    <mergeCell ref="M32:M34"/>
    <mergeCell ref="M35:M37"/>
    <mergeCell ref="M38:M40"/>
    <mergeCell ref="O248:P251"/>
    <mergeCell ref="O52:P55"/>
    <mergeCell ref="O66:P69"/>
    <mergeCell ref="O87:P90"/>
    <mergeCell ref="O80:P80"/>
    <mergeCell ref="O94:P94"/>
    <mergeCell ref="O101:P101"/>
    <mergeCell ref="O164:P164"/>
    <mergeCell ref="O150:P150"/>
    <mergeCell ref="O185:P188"/>
    <mergeCell ref="M7:O7"/>
    <mergeCell ref="M8:O8"/>
    <mergeCell ref="M10:M12"/>
    <mergeCell ref="M14:M16"/>
    <mergeCell ref="M17:M19"/>
    <mergeCell ref="A7:C7"/>
    <mergeCell ref="E7:G7"/>
    <mergeCell ref="I7:K7"/>
    <mergeCell ref="E8:G8"/>
    <mergeCell ref="I8:K8"/>
    <mergeCell ref="E10:E12"/>
    <mergeCell ref="A16:A18"/>
    <mergeCell ref="A19:A21"/>
    <mergeCell ref="M23:M25"/>
    <mergeCell ref="O269:P272"/>
    <mergeCell ref="I10:I12"/>
    <mergeCell ref="M41:M43"/>
    <mergeCell ref="O115:P118"/>
    <mergeCell ref="O45:P45"/>
    <mergeCell ref="A13:A15"/>
    <mergeCell ref="E13:E15"/>
    <mergeCell ref="I13:I15"/>
    <mergeCell ref="M20:M22"/>
    <mergeCell ref="A10:A12"/>
    <mergeCell ref="M26:M28"/>
    <mergeCell ref="M29:M31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9"/>
  <sheetViews>
    <sheetView workbookViewId="0">
      <selection activeCell="K43" sqref="K43"/>
    </sheetView>
  </sheetViews>
  <sheetFormatPr defaultRowHeight="12.75" x14ac:dyDescent="0.2"/>
  <sheetData>
    <row r="2" spans="1:19" x14ac:dyDescent="0.2">
      <c r="A2" s="9"/>
      <c r="B2" s="48">
        <v>9.1549999999999994</v>
      </c>
      <c r="C2" s="15" t="s">
        <v>451</v>
      </c>
      <c r="D2" s="48">
        <v>24.18</v>
      </c>
      <c r="E2" s="12" t="s">
        <v>452</v>
      </c>
      <c r="F2" s="12" t="s">
        <v>453</v>
      </c>
      <c r="G2" s="12" t="s">
        <v>450</v>
      </c>
      <c r="H2" s="12" t="s">
        <v>448</v>
      </c>
      <c r="I2" s="12" t="s">
        <v>449</v>
      </c>
    </row>
    <row r="3" spans="1:19" x14ac:dyDescent="0.2">
      <c r="A3" s="19" t="s">
        <v>0</v>
      </c>
      <c r="B3" s="34">
        <f>55.57/B2</f>
        <v>6.06990715456035</v>
      </c>
      <c r="C3" s="34">
        <f t="shared" ref="C3:I3" si="0">55.57/C2</f>
        <v>3.5851612903225805</v>
      </c>
      <c r="D3" s="34">
        <f t="shared" si="0"/>
        <v>2.2981803143093464</v>
      </c>
      <c r="E3" s="34">
        <f t="shared" si="0"/>
        <v>1.5183060109289617</v>
      </c>
      <c r="F3" s="34">
        <f t="shared" si="0"/>
        <v>1.2365376056964843</v>
      </c>
      <c r="G3" s="34">
        <f t="shared" si="0"/>
        <v>1.0896078431372549</v>
      </c>
      <c r="H3" s="34">
        <f t="shared" si="0"/>
        <v>1</v>
      </c>
      <c r="I3" s="34">
        <f t="shared" si="0"/>
        <v>0.89846402586903795</v>
      </c>
    </row>
    <row r="4" spans="1:19" x14ac:dyDescent="0.2">
      <c r="A4" s="19" t="s">
        <v>1</v>
      </c>
      <c r="B4" s="34"/>
      <c r="C4" s="49">
        <f t="shared" ref="C4:I4" si="1">B3/C3</f>
        <v>1.6930638995084655</v>
      </c>
      <c r="D4" s="34">
        <f t="shared" si="1"/>
        <v>1.56</v>
      </c>
      <c r="E4" s="36">
        <f t="shared" si="1"/>
        <v>1.5136476426799008</v>
      </c>
      <c r="F4" s="36">
        <f t="shared" si="1"/>
        <v>1.2278688524590162</v>
      </c>
      <c r="G4" s="36">
        <f t="shared" si="1"/>
        <v>1.1348464619492658</v>
      </c>
      <c r="H4" s="36">
        <f t="shared" si="1"/>
        <v>1.0896078431372549</v>
      </c>
      <c r="I4" s="36">
        <f t="shared" si="1"/>
        <v>1.1130106172395178</v>
      </c>
      <c r="J4" t="s">
        <v>540</v>
      </c>
      <c r="K4" s="88">
        <f>B3/I3</f>
        <v>6.7558711086837802</v>
      </c>
    </row>
    <row r="5" spans="1:19" x14ac:dyDescent="0.2">
      <c r="A5" s="9"/>
      <c r="B5" s="50">
        <f t="shared" ref="B5:I5" si="2">100/B3</f>
        <v>16.474716573690838</v>
      </c>
      <c r="C5" s="8">
        <f t="shared" si="2"/>
        <v>27.89274788554976</v>
      </c>
      <c r="D5" s="50">
        <f t="shared" si="2"/>
        <v>43.512686701457625</v>
      </c>
      <c r="E5" s="7">
        <f t="shared" si="2"/>
        <v>65.862875652330402</v>
      </c>
      <c r="F5" s="7">
        <f t="shared" si="2"/>
        <v>80.870973546877806</v>
      </c>
      <c r="G5" s="7">
        <f t="shared" si="2"/>
        <v>91.776138204066939</v>
      </c>
      <c r="H5" s="7">
        <f t="shared" si="2"/>
        <v>100</v>
      </c>
      <c r="I5" s="7">
        <f t="shared" si="2"/>
        <v>111.30106172395178</v>
      </c>
    </row>
    <row r="6" spans="1:19" x14ac:dyDescent="0.2">
      <c r="B6" s="51">
        <f>1/B3</f>
        <v>0.1647471657369084</v>
      </c>
      <c r="C6" s="51">
        <f t="shared" ref="C6:I6" si="3">1/C3</f>
        <v>0.27892747885549757</v>
      </c>
      <c r="D6" s="51">
        <f t="shared" si="3"/>
        <v>0.43512686701457626</v>
      </c>
      <c r="E6" s="51">
        <f t="shared" si="3"/>
        <v>0.65862875652330399</v>
      </c>
      <c r="F6" s="51">
        <f t="shared" si="3"/>
        <v>0.808709735468778</v>
      </c>
      <c r="G6" s="51">
        <f t="shared" si="3"/>
        <v>0.91776138204066948</v>
      </c>
      <c r="H6" s="51">
        <f t="shared" si="3"/>
        <v>1</v>
      </c>
      <c r="I6" s="51">
        <f t="shared" si="3"/>
        <v>1.1130106172395178</v>
      </c>
    </row>
    <row r="7" spans="1:19" x14ac:dyDescent="0.2">
      <c r="A7" s="188" t="s">
        <v>60</v>
      </c>
      <c r="B7" s="188"/>
      <c r="C7" s="188"/>
      <c r="D7" s="52"/>
      <c r="E7" s="189" t="s">
        <v>97</v>
      </c>
      <c r="F7" s="189"/>
      <c r="G7" s="189"/>
      <c r="I7" s="189" t="s">
        <v>98</v>
      </c>
      <c r="J7" s="189"/>
      <c r="K7" s="189"/>
      <c r="M7" s="189" t="s">
        <v>99</v>
      </c>
      <c r="N7" s="189"/>
      <c r="O7" s="189"/>
      <c r="Q7" s="189" t="s">
        <v>100</v>
      </c>
      <c r="R7" s="189"/>
      <c r="S7" s="189"/>
    </row>
    <row r="8" spans="1:19" x14ac:dyDescent="0.2">
      <c r="B8" s="51"/>
      <c r="C8" s="2"/>
      <c r="D8" s="52"/>
      <c r="E8" s="185" t="s">
        <v>679</v>
      </c>
      <c r="F8" s="185"/>
      <c r="G8" s="185"/>
      <c r="I8" s="185" t="s">
        <v>655</v>
      </c>
      <c r="J8" s="185"/>
      <c r="K8" s="185"/>
      <c r="M8" s="185" t="s">
        <v>683</v>
      </c>
      <c r="N8" s="185"/>
      <c r="O8" s="185"/>
      <c r="Q8" s="185" t="s">
        <v>661</v>
      </c>
      <c r="R8" s="185"/>
      <c r="S8" s="185"/>
    </row>
    <row r="9" spans="1:19" x14ac:dyDescent="0.2">
      <c r="A9" s="7" t="s">
        <v>2</v>
      </c>
      <c r="B9" s="8" t="s">
        <v>3</v>
      </c>
      <c r="C9" s="20" t="s">
        <v>0</v>
      </c>
      <c r="D9" s="52"/>
      <c r="E9" s="7" t="s">
        <v>2</v>
      </c>
      <c r="F9" s="7" t="s">
        <v>3</v>
      </c>
      <c r="G9" s="21" t="s">
        <v>0</v>
      </c>
      <c r="I9" s="7" t="s">
        <v>2</v>
      </c>
      <c r="J9" s="7" t="s">
        <v>3</v>
      </c>
      <c r="K9" s="21" t="s">
        <v>0</v>
      </c>
      <c r="M9" s="7" t="s">
        <v>2</v>
      </c>
      <c r="N9" s="7" t="s">
        <v>3</v>
      </c>
      <c r="O9" s="21" t="s">
        <v>0</v>
      </c>
      <c r="Q9" s="7" t="s">
        <v>2</v>
      </c>
      <c r="R9" s="7" t="s">
        <v>3</v>
      </c>
      <c r="S9" s="21" t="s">
        <v>0</v>
      </c>
    </row>
    <row r="10" spans="1:19" x14ac:dyDescent="0.2">
      <c r="A10" s="187" t="s">
        <v>160</v>
      </c>
      <c r="B10" s="18" t="s">
        <v>184</v>
      </c>
      <c r="C10" s="18" t="s">
        <v>454</v>
      </c>
      <c r="D10" s="53"/>
      <c r="E10" s="187" t="s">
        <v>279</v>
      </c>
      <c r="F10" s="26" t="s">
        <v>291</v>
      </c>
      <c r="G10" s="26" t="s">
        <v>680</v>
      </c>
      <c r="H10" s="39"/>
      <c r="I10" s="187" t="s">
        <v>281</v>
      </c>
      <c r="J10" s="29" t="s">
        <v>300</v>
      </c>
      <c r="K10" s="29" t="s">
        <v>548</v>
      </c>
      <c r="M10" s="187" t="s">
        <v>159</v>
      </c>
      <c r="N10" s="26" t="s">
        <v>255</v>
      </c>
      <c r="O10" s="26" t="s">
        <v>684</v>
      </c>
      <c r="Q10" s="187" t="s">
        <v>35</v>
      </c>
      <c r="R10" s="29" t="s">
        <v>39</v>
      </c>
      <c r="S10" s="29" t="s">
        <v>457</v>
      </c>
    </row>
    <row r="11" spans="1:19" x14ac:dyDescent="0.2">
      <c r="A11" s="187"/>
      <c r="B11" s="5"/>
      <c r="C11" s="5"/>
      <c r="D11" s="53"/>
      <c r="E11" s="187"/>
      <c r="F11" s="4"/>
      <c r="G11" s="4"/>
      <c r="H11" s="39"/>
      <c r="I11" s="187"/>
      <c r="J11" s="4"/>
      <c r="K11" s="4"/>
      <c r="M11" s="187"/>
      <c r="N11" s="4"/>
      <c r="O11" s="4"/>
      <c r="Q11" s="187"/>
      <c r="R11" s="4"/>
      <c r="S11" s="4"/>
    </row>
    <row r="12" spans="1:19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  <c r="M12" s="187"/>
      <c r="N12" s="4"/>
      <c r="O12" s="4"/>
      <c r="Q12" s="187"/>
      <c r="R12" s="4"/>
      <c r="S12" s="4"/>
    </row>
    <row r="13" spans="1:19" x14ac:dyDescent="0.2">
      <c r="A13" s="187" t="s">
        <v>117</v>
      </c>
      <c r="B13" s="25" t="s">
        <v>128</v>
      </c>
      <c r="C13" s="25" t="s">
        <v>678</v>
      </c>
      <c r="D13" s="53"/>
      <c r="E13" s="187" t="s">
        <v>72</v>
      </c>
      <c r="F13" s="25" t="s">
        <v>71</v>
      </c>
      <c r="G13" s="25" t="s">
        <v>681</v>
      </c>
      <c r="H13" s="44"/>
      <c r="I13" s="187" t="s">
        <v>72</v>
      </c>
      <c r="J13" s="25" t="s">
        <v>72</v>
      </c>
      <c r="K13" s="25" t="s">
        <v>682</v>
      </c>
      <c r="M13" s="187" t="s">
        <v>72</v>
      </c>
      <c r="N13" s="18" t="s">
        <v>72</v>
      </c>
      <c r="O13" s="18" t="s">
        <v>429</v>
      </c>
    </row>
    <row r="14" spans="1:19" x14ac:dyDescent="0.2">
      <c r="A14" s="187"/>
      <c r="B14" s="5"/>
      <c r="C14" s="5"/>
      <c r="D14" s="53"/>
      <c r="E14" s="187"/>
      <c r="F14" s="4"/>
      <c r="G14" s="4"/>
      <c r="H14" s="44"/>
      <c r="I14" s="187"/>
      <c r="J14" s="4"/>
      <c r="K14" s="4"/>
      <c r="M14" s="187"/>
      <c r="N14" s="4"/>
      <c r="O14" s="4"/>
      <c r="Q14" s="187" t="s">
        <v>160</v>
      </c>
      <c r="R14" s="18" t="s">
        <v>184</v>
      </c>
      <c r="S14" s="18" t="s">
        <v>454</v>
      </c>
    </row>
    <row r="15" spans="1:19" x14ac:dyDescent="0.2">
      <c r="A15" s="187"/>
      <c r="B15" s="5"/>
      <c r="C15" s="5"/>
      <c r="D15" s="53"/>
      <c r="E15" s="187"/>
      <c r="F15" s="4"/>
      <c r="G15" s="4"/>
      <c r="H15" s="44"/>
      <c r="I15" s="187"/>
      <c r="J15" s="4"/>
      <c r="K15" s="4"/>
      <c r="M15" s="187"/>
      <c r="N15" s="4"/>
      <c r="O15" s="4"/>
      <c r="Q15" s="187"/>
      <c r="R15" s="4"/>
      <c r="S15" s="4"/>
    </row>
    <row r="16" spans="1:19" x14ac:dyDescent="0.2">
      <c r="A16" s="4" t="s">
        <v>41</v>
      </c>
      <c r="B16" s="5" t="s">
        <v>122</v>
      </c>
      <c r="C16" s="46"/>
      <c r="D16" s="53"/>
      <c r="E16" s="44"/>
      <c r="H16" s="44"/>
      <c r="Q16" s="187"/>
      <c r="R16" s="4"/>
      <c r="S16" s="4"/>
    </row>
    <row r="17" spans="1:19" x14ac:dyDescent="0.2">
      <c r="A17" s="4" t="s">
        <v>41</v>
      </c>
      <c r="B17" s="5" t="s">
        <v>52</v>
      </c>
      <c r="C17" s="46"/>
      <c r="D17" s="53"/>
      <c r="E17" s="45"/>
      <c r="F17" s="45"/>
      <c r="G17" s="45"/>
      <c r="H17" s="44"/>
      <c r="Q17" s="187" t="s">
        <v>109</v>
      </c>
      <c r="R17" s="18" t="s">
        <v>286</v>
      </c>
      <c r="S17" s="18" t="s">
        <v>515</v>
      </c>
    </row>
    <row r="18" spans="1:19" x14ac:dyDescent="0.2">
      <c r="A18" s="45"/>
      <c r="B18" s="46"/>
      <c r="C18" s="46"/>
      <c r="D18" s="53"/>
      <c r="E18" s="45"/>
      <c r="F18" s="45"/>
      <c r="G18" s="45"/>
      <c r="H18" s="44"/>
      <c r="Q18" s="187"/>
      <c r="R18" s="4"/>
      <c r="S18" s="4"/>
    </row>
    <row r="19" spans="1:19" x14ac:dyDescent="0.2">
      <c r="A19" s="45"/>
      <c r="B19" s="46"/>
      <c r="C19" s="46"/>
      <c r="D19" s="53"/>
      <c r="E19" s="46"/>
      <c r="F19" s="46"/>
      <c r="G19" s="45"/>
      <c r="H19" s="44"/>
      <c r="Q19" s="187"/>
      <c r="R19" s="4"/>
      <c r="S19" s="4"/>
    </row>
    <row r="20" spans="1:19" x14ac:dyDescent="0.2">
      <c r="A20" s="45"/>
      <c r="B20" s="46"/>
      <c r="C20" s="46"/>
      <c r="D20" s="53"/>
      <c r="E20" s="46"/>
      <c r="F20" s="46"/>
      <c r="G20" s="45"/>
      <c r="H20" s="44"/>
      <c r="Q20" s="187" t="s">
        <v>280</v>
      </c>
      <c r="R20" s="18" t="s">
        <v>296</v>
      </c>
      <c r="S20" s="18" t="s">
        <v>459</v>
      </c>
    </row>
    <row r="21" spans="1:19" x14ac:dyDescent="0.2">
      <c r="A21" s="45"/>
      <c r="B21" s="46"/>
      <c r="C21" s="46"/>
      <c r="D21" s="53"/>
      <c r="E21" s="46"/>
      <c r="F21" s="46"/>
      <c r="G21" s="45"/>
      <c r="H21" s="44"/>
      <c r="Q21" s="187"/>
      <c r="R21" s="4"/>
      <c r="S21" s="4"/>
    </row>
    <row r="22" spans="1:19" x14ac:dyDescent="0.2">
      <c r="A22" s="45"/>
      <c r="B22" s="46"/>
      <c r="C22" s="46"/>
      <c r="D22" s="53"/>
      <c r="E22" s="45"/>
      <c r="F22" s="45"/>
      <c r="G22" s="45"/>
      <c r="H22" s="44"/>
      <c r="Q22" s="187"/>
      <c r="R22" s="4"/>
      <c r="S22" s="4"/>
    </row>
    <row r="23" spans="1:19" x14ac:dyDescent="0.2">
      <c r="A23" s="45"/>
      <c r="B23" s="46"/>
      <c r="C23" s="46"/>
      <c r="D23" s="53"/>
      <c r="E23" s="45"/>
      <c r="F23" s="45"/>
      <c r="G23" s="45"/>
      <c r="H23" s="44"/>
      <c r="Q23" s="187" t="s">
        <v>69</v>
      </c>
      <c r="R23" s="25" t="s">
        <v>308</v>
      </c>
      <c r="S23" s="25" t="s">
        <v>685</v>
      </c>
    </row>
    <row r="24" spans="1:19" x14ac:dyDescent="0.2">
      <c r="A24" s="45"/>
      <c r="B24" s="46"/>
      <c r="C24" s="46"/>
      <c r="D24" s="53"/>
      <c r="E24" s="45"/>
      <c r="F24" s="45"/>
      <c r="G24" s="45"/>
      <c r="H24" s="44"/>
      <c r="Q24" s="187"/>
      <c r="R24" s="4"/>
      <c r="S24" s="4"/>
    </row>
    <row r="25" spans="1:19" ht="12.75" customHeight="1" x14ac:dyDescent="0.2">
      <c r="A25" s="44"/>
      <c r="B25" s="46"/>
      <c r="C25" s="46"/>
      <c r="D25" s="53"/>
      <c r="E25" s="46"/>
      <c r="F25" s="54"/>
      <c r="G25" s="54"/>
      <c r="Q25" s="187"/>
      <c r="R25" s="4"/>
      <c r="S25" s="4"/>
    </row>
    <row r="26" spans="1:19" x14ac:dyDescent="0.2">
      <c r="A26" s="44"/>
      <c r="B26" s="46"/>
      <c r="C26" s="46"/>
      <c r="D26" s="53"/>
      <c r="H26" s="44"/>
    </row>
    <row r="27" spans="1:19" x14ac:dyDescent="0.2">
      <c r="A27" s="44"/>
      <c r="B27" s="46"/>
      <c r="C27" s="46"/>
      <c r="D27" s="53"/>
      <c r="H27" s="44"/>
    </row>
    <row r="28" spans="1:19" x14ac:dyDescent="0.2">
      <c r="A28" s="44"/>
      <c r="B28" s="46"/>
      <c r="C28" s="46"/>
      <c r="D28" s="53"/>
      <c r="H28" s="44"/>
    </row>
    <row r="29" spans="1:19" x14ac:dyDescent="0.2">
      <c r="A29" s="44"/>
      <c r="B29" s="46"/>
      <c r="C29" s="46"/>
      <c r="D29" s="53"/>
      <c r="H29" s="44"/>
    </row>
    <row r="30" spans="1:19" x14ac:dyDescent="0.2">
      <c r="A30" s="44"/>
      <c r="B30" s="46"/>
      <c r="C30" s="46"/>
      <c r="D30" s="53"/>
      <c r="H30" s="44"/>
    </row>
    <row r="31" spans="1:19" x14ac:dyDescent="0.2">
      <c r="A31" s="44"/>
      <c r="B31" s="46"/>
      <c r="C31" s="46"/>
      <c r="D31" s="53"/>
      <c r="H31" s="44"/>
    </row>
    <row r="32" spans="1:19" x14ac:dyDescent="0.2">
      <c r="A32" s="44"/>
      <c r="B32" s="46"/>
      <c r="C32" s="46"/>
      <c r="D32" s="53"/>
    </row>
    <row r="33" spans="1:21" ht="26.25" x14ac:dyDescent="0.4">
      <c r="A33" s="44"/>
      <c r="B33" s="46"/>
      <c r="C33" s="46"/>
      <c r="D33" s="53"/>
      <c r="F33" s="251" t="s">
        <v>837</v>
      </c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21" x14ac:dyDescent="0.2">
      <c r="A34" s="44"/>
      <c r="B34" s="54"/>
      <c r="C34" s="46"/>
      <c r="D34" s="53"/>
    </row>
    <row r="35" spans="1:21" ht="25.5" x14ac:dyDescent="0.35">
      <c r="F35" s="250" t="s">
        <v>834</v>
      </c>
      <c r="G35" s="250"/>
      <c r="H35" s="250"/>
      <c r="I35" s="250"/>
      <c r="J35" s="250"/>
      <c r="K35" s="250"/>
      <c r="L35" s="250"/>
      <c r="M35" s="250"/>
      <c r="N35" s="250"/>
    </row>
    <row r="36" spans="1:21" ht="25.5" x14ac:dyDescent="0.35">
      <c r="F36" s="138"/>
      <c r="G36" s="138"/>
      <c r="H36" s="138"/>
      <c r="I36" s="138"/>
      <c r="J36" s="138"/>
      <c r="K36" s="138"/>
      <c r="L36" s="138"/>
      <c r="M36" s="138"/>
      <c r="N36" s="138"/>
    </row>
    <row r="37" spans="1:21" ht="25.5" x14ac:dyDescent="0.35">
      <c r="F37" s="250" t="s">
        <v>835</v>
      </c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</row>
    <row r="39" spans="1:21" ht="25.5" x14ac:dyDescent="0.35">
      <c r="F39" s="250" t="s">
        <v>836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</row>
  </sheetData>
  <mergeCells count="26">
    <mergeCell ref="E10:E12"/>
    <mergeCell ref="I10:I12"/>
    <mergeCell ref="A13:A15"/>
    <mergeCell ref="E13:E15"/>
    <mergeCell ref="I13:I15"/>
    <mergeCell ref="A10:A12"/>
    <mergeCell ref="M7:O7"/>
    <mergeCell ref="M8:O8"/>
    <mergeCell ref="M10:M12"/>
    <mergeCell ref="M13:M15"/>
    <mergeCell ref="Q7:S7"/>
    <mergeCell ref="Q8:S8"/>
    <mergeCell ref="Q10:Q12"/>
    <mergeCell ref="Q14:Q16"/>
    <mergeCell ref="A7:C7"/>
    <mergeCell ref="E7:G7"/>
    <mergeCell ref="I7:K7"/>
    <mergeCell ref="E8:G8"/>
    <mergeCell ref="I8:K8"/>
    <mergeCell ref="F39:Q39"/>
    <mergeCell ref="F33:R33"/>
    <mergeCell ref="F35:N35"/>
    <mergeCell ref="F37:U37"/>
    <mergeCell ref="Q17:Q19"/>
    <mergeCell ref="Q20:Q22"/>
    <mergeCell ref="Q23:Q25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6"/>
  <sheetViews>
    <sheetView workbookViewId="0">
      <selection activeCell="B6" sqref="B6:I6"/>
    </sheetView>
  </sheetViews>
  <sheetFormatPr defaultRowHeight="12.75" x14ac:dyDescent="0.2"/>
  <sheetData>
    <row r="2" spans="1:15" x14ac:dyDescent="0.2">
      <c r="A2" s="9"/>
      <c r="B2" s="48">
        <v>9.1549999999999994</v>
      </c>
      <c r="C2" s="15" t="s">
        <v>451</v>
      </c>
      <c r="D2" s="48">
        <v>24.18</v>
      </c>
      <c r="E2" s="12" t="s">
        <v>452</v>
      </c>
      <c r="F2" s="12" t="s">
        <v>453</v>
      </c>
      <c r="G2" s="12" t="s">
        <v>450</v>
      </c>
      <c r="H2" s="12" t="s">
        <v>448</v>
      </c>
      <c r="I2" s="12" t="s">
        <v>449</v>
      </c>
    </row>
    <row r="3" spans="1:15" x14ac:dyDescent="0.2">
      <c r="A3" s="19" t="s">
        <v>0</v>
      </c>
      <c r="B3" s="34">
        <f>61.85/B2</f>
        <v>6.7558711086837802</v>
      </c>
      <c r="C3" s="34">
        <f t="shared" ref="C3:I3" si="0">61.85/C2</f>
        <v>3.9903225806451612</v>
      </c>
      <c r="D3" s="34">
        <f t="shared" si="0"/>
        <v>2.5578990901571546</v>
      </c>
      <c r="E3" s="34">
        <f t="shared" si="0"/>
        <v>1.6898907103825136</v>
      </c>
      <c r="F3" s="34">
        <f t="shared" si="0"/>
        <v>1.3762794837561194</v>
      </c>
      <c r="G3" s="34">
        <f t="shared" si="0"/>
        <v>1.2127450980392158</v>
      </c>
      <c r="H3" s="34">
        <f t="shared" si="0"/>
        <v>1.1130106172395178</v>
      </c>
      <c r="I3" s="34">
        <f t="shared" si="0"/>
        <v>1</v>
      </c>
    </row>
    <row r="4" spans="1:15" x14ac:dyDescent="0.2">
      <c r="A4" s="19" t="s">
        <v>1</v>
      </c>
      <c r="B4" s="34"/>
      <c r="C4" s="49">
        <f t="shared" ref="C4:I4" si="1">B3/C3</f>
        <v>1.6930638995084655</v>
      </c>
      <c r="D4" s="34">
        <f t="shared" si="1"/>
        <v>1.56</v>
      </c>
      <c r="E4" s="36">
        <f t="shared" si="1"/>
        <v>1.5136476426799008</v>
      </c>
      <c r="F4" s="36">
        <f t="shared" si="1"/>
        <v>1.2278688524590162</v>
      </c>
      <c r="G4" s="36">
        <f t="shared" si="1"/>
        <v>1.1348464619492658</v>
      </c>
      <c r="H4" s="36">
        <f t="shared" si="1"/>
        <v>1.0896078431372549</v>
      </c>
      <c r="I4" s="36">
        <f t="shared" si="1"/>
        <v>1.1130106172395178</v>
      </c>
      <c r="J4" t="s">
        <v>540</v>
      </c>
      <c r="K4" s="88">
        <f>B3/I3</f>
        <v>6.7558711086837802</v>
      </c>
    </row>
    <row r="5" spans="1:15" x14ac:dyDescent="0.2">
      <c r="A5" s="9"/>
      <c r="B5" s="50">
        <f t="shared" ref="B5:I5" si="2">100/B3</f>
        <v>14.801940177849634</v>
      </c>
      <c r="C5" s="8">
        <f t="shared" si="2"/>
        <v>25.060630557801133</v>
      </c>
      <c r="D5" s="50">
        <f t="shared" si="2"/>
        <v>39.094583670169769</v>
      </c>
      <c r="E5" s="7">
        <f t="shared" si="2"/>
        <v>59.175424413904608</v>
      </c>
      <c r="F5" s="7">
        <f t="shared" si="2"/>
        <v>72.659660468876311</v>
      </c>
      <c r="G5" s="7">
        <f t="shared" si="2"/>
        <v>82.457558609539205</v>
      </c>
      <c r="H5" s="7">
        <f t="shared" si="2"/>
        <v>89.846402586903793</v>
      </c>
      <c r="I5" s="7">
        <f t="shared" si="2"/>
        <v>100</v>
      </c>
    </row>
    <row r="6" spans="1:15" x14ac:dyDescent="0.2">
      <c r="B6" s="51">
        <f>1/B3</f>
        <v>0.14801940177849635</v>
      </c>
      <c r="C6" s="51">
        <f t="shared" ref="C6:I6" si="3">1/C3</f>
        <v>0.25060630557801133</v>
      </c>
      <c r="D6" s="51">
        <f t="shared" si="3"/>
        <v>0.39094583670169769</v>
      </c>
      <c r="E6" s="51">
        <f t="shared" si="3"/>
        <v>0.59175424413904609</v>
      </c>
      <c r="F6" s="51">
        <f t="shared" si="3"/>
        <v>0.72659660468876308</v>
      </c>
      <c r="G6" s="51">
        <f t="shared" si="3"/>
        <v>0.82457558609539194</v>
      </c>
      <c r="H6" s="51">
        <f t="shared" si="3"/>
        <v>0.89846402586903795</v>
      </c>
      <c r="I6" s="51">
        <f t="shared" si="3"/>
        <v>1</v>
      </c>
    </row>
    <row r="7" spans="1:15" x14ac:dyDescent="0.2">
      <c r="A7" s="188" t="s">
        <v>60</v>
      </c>
      <c r="B7" s="188"/>
      <c r="C7" s="188"/>
      <c r="D7" s="52"/>
      <c r="E7" s="189" t="s">
        <v>97</v>
      </c>
      <c r="F7" s="189"/>
      <c r="G7" s="189"/>
      <c r="I7" s="189" t="s">
        <v>98</v>
      </c>
      <c r="J7" s="189"/>
      <c r="K7" s="189"/>
      <c r="M7" s="189" t="s">
        <v>99</v>
      </c>
      <c r="N7" s="189"/>
      <c r="O7" s="189"/>
    </row>
    <row r="8" spans="1:15" x14ac:dyDescent="0.2">
      <c r="B8" s="51"/>
      <c r="C8" s="2"/>
      <c r="D8" s="52"/>
      <c r="E8" s="185" t="s">
        <v>679</v>
      </c>
      <c r="F8" s="185"/>
      <c r="G8" s="185"/>
      <c r="I8" s="185" t="s">
        <v>655</v>
      </c>
      <c r="J8" s="185"/>
      <c r="K8" s="185"/>
      <c r="M8" s="185" t="s">
        <v>661</v>
      </c>
      <c r="N8" s="185"/>
      <c r="O8" s="185"/>
    </row>
    <row r="9" spans="1:15" x14ac:dyDescent="0.2">
      <c r="A9" s="7" t="s">
        <v>2</v>
      </c>
      <c r="B9" s="8" t="s">
        <v>3</v>
      </c>
      <c r="C9" s="20" t="s">
        <v>0</v>
      </c>
      <c r="D9" s="52"/>
      <c r="E9" s="7" t="s">
        <v>2</v>
      </c>
      <c r="F9" s="7" t="s">
        <v>3</v>
      </c>
      <c r="G9" s="21" t="s">
        <v>0</v>
      </c>
      <c r="I9" s="7" t="s">
        <v>2</v>
      </c>
      <c r="J9" s="7" t="s">
        <v>3</v>
      </c>
      <c r="K9" s="21" t="s">
        <v>0</v>
      </c>
      <c r="M9" s="7" t="s">
        <v>2</v>
      </c>
      <c r="N9" s="7" t="s">
        <v>3</v>
      </c>
      <c r="O9" s="21" t="s">
        <v>0</v>
      </c>
    </row>
    <row r="10" spans="1:15" x14ac:dyDescent="0.2">
      <c r="A10" s="187" t="s">
        <v>160</v>
      </c>
      <c r="B10" s="18" t="s">
        <v>184</v>
      </c>
      <c r="C10" s="18" t="s">
        <v>454</v>
      </c>
      <c r="D10" s="53"/>
      <c r="E10" s="187" t="s">
        <v>72</v>
      </c>
      <c r="F10" s="26" t="s">
        <v>71</v>
      </c>
      <c r="G10" s="26" t="s">
        <v>681</v>
      </c>
      <c r="H10" s="39"/>
      <c r="I10" s="187" t="s">
        <v>281</v>
      </c>
      <c r="J10" s="29" t="s">
        <v>300</v>
      </c>
      <c r="K10" s="29" t="s">
        <v>691</v>
      </c>
      <c r="M10" s="187" t="s">
        <v>35</v>
      </c>
      <c r="N10" s="29" t="s">
        <v>39</v>
      </c>
      <c r="O10" s="29" t="s">
        <v>457</v>
      </c>
    </row>
    <row r="11" spans="1:15" x14ac:dyDescent="0.2">
      <c r="A11" s="187"/>
      <c r="B11" s="5"/>
      <c r="C11" s="5"/>
      <c r="D11" s="53"/>
      <c r="E11" s="187"/>
      <c r="F11" s="4"/>
      <c r="G11" s="4"/>
      <c r="H11" s="39"/>
      <c r="I11" s="187"/>
      <c r="J11" s="4"/>
      <c r="K11" s="4"/>
      <c r="M11" s="187"/>
      <c r="N11" s="4"/>
      <c r="O11" s="4"/>
    </row>
    <row r="12" spans="1:15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  <c r="M12" s="187"/>
      <c r="N12" s="4"/>
      <c r="O12" s="4"/>
    </row>
    <row r="13" spans="1:15" x14ac:dyDescent="0.2">
      <c r="A13" s="187" t="s">
        <v>22</v>
      </c>
      <c r="B13" s="18" t="s">
        <v>481</v>
      </c>
      <c r="C13" s="18" t="s">
        <v>686</v>
      </c>
      <c r="D13" s="53"/>
      <c r="H13" s="44"/>
      <c r="I13" s="187" t="s">
        <v>72</v>
      </c>
      <c r="J13" s="18" t="s">
        <v>72</v>
      </c>
      <c r="K13" s="18" t="s">
        <v>429</v>
      </c>
    </row>
    <row r="14" spans="1:15" x14ac:dyDescent="0.2">
      <c r="A14" s="187"/>
      <c r="B14" s="5"/>
      <c r="C14" s="5"/>
      <c r="D14" s="53"/>
      <c r="E14" s="187" t="s">
        <v>22</v>
      </c>
      <c r="F14" s="18" t="s">
        <v>481</v>
      </c>
      <c r="G14" s="18" t="s">
        <v>686</v>
      </c>
      <c r="H14" s="44"/>
      <c r="I14" s="187"/>
      <c r="J14" s="4"/>
      <c r="K14" s="4"/>
      <c r="L14">
        <v>1</v>
      </c>
      <c r="M14" s="187" t="s">
        <v>160</v>
      </c>
      <c r="N14" s="18" t="s">
        <v>184</v>
      </c>
      <c r="O14" s="18" t="s">
        <v>454</v>
      </c>
    </row>
    <row r="15" spans="1:15" x14ac:dyDescent="0.2">
      <c r="A15" s="187"/>
      <c r="B15" s="5"/>
      <c r="C15" s="5"/>
      <c r="D15" s="53"/>
      <c r="E15" s="187"/>
      <c r="F15" s="4"/>
      <c r="G15" s="4"/>
      <c r="H15" s="44"/>
      <c r="I15" s="187"/>
      <c r="J15" s="4"/>
      <c r="K15" s="4"/>
      <c r="M15" s="187"/>
      <c r="N15" s="4"/>
      <c r="O15" s="4"/>
    </row>
    <row r="16" spans="1:15" x14ac:dyDescent="0.2">
      <c r="A16" s="4" t="s">
        <v>41</v>
      </c>
      <c r="B16" s="5" t="s">
        <v>122</v>
      </c>
      <c r="C16" s="46"/>
      <c r="D16" s="53"/>
      <c r="E16" s="187"/>
      <c r="F16" s="4"/>
      <c r="G16" s="4"/>
      <c r="H16" s="44"/>
      <c r="M16" s="187"/>
      <c r="N16" s="4"/>
      <c r="O16" s="4"/>
    </row>
    <row r="17" spans="1:15" x14ac:dyDescent="0.2">
      <c r="A17" s="4" t="s">
        <v>41</v>
      </c>
      <c r="B17" s="5" t="s">
        <v>496</v>
      </c>
      <c r="C17" s="46"/>
      <c r="D17" s="53"/>
      <c r="E17" s="187" t="s">
        <v>279</v>
      </c>
      <c r="F17" s="25" t="s">
        <v>687</v>
      </c>
      <c r="G17" s="25" t="s">
        <v>688</v>
      </c>
      <c r="H17" s="44"/>
      <c r="I17" s="25" t="s">
        <v>184</v>
      </c>
      <c r="J17" s="25" t="s">
        <v>454</v>
      </c>
      <c r="L17">
        <v>2</v>
      </c>
      <c r="M17" s="187" t="s">
        <v>109</v>
      </c>
      <c r="N17" s="18" t="s">
        <v>286</v>
      </c>
      <c r="O17" s="18" t="s">
        <v>515</v>
      </c>
    </row>
    <row r="18" spans="1:15" x14ac:dyDescent="0.2">
      <c r="A18" s="45"/>
      <c r="B18" s="46"/>
      <c r="C18" s="46"/>
      <c r="D18" s="53"/>
      <c r="E18" s="187"/>
      <c r="F18" s="4"/>
      <c r="G18" s="4"/>
      <c r="H18" s="44"/>
      <c r="I18" s="25" t="s">
        <v>481</v>
      </c>
      <c r="J18" s="25" t="s">
        <v>686</v>
      </c>
      <c r="M18" s="187"/>
      <c r="N18" s="4"/>
      <c r="O18" s="4"/>
    </row>
    <row r="19" spans="1:15" x14ac:dyDescent="0.2">
      <c r="A19" s="45"/>
      <c r="B19" s="46"/>
      <c r="C19" s="46"/>
      <c r="D19" s="53"/>
      <c r="E19" s="187"/>
      <c r="F19" s="4"/>
      <c r="G19" s="4"/>
      <c r="H19" s="44"/>
      <c r="I19" s="26" t="s">
        <v>300</v>
      </c>
      <c r="J19" s="26" t="s">
        <v>691</v>
      </c>
      <c r="M19" s="187"/>
      <c r="N19" s="4"/>
      <c r="O19" s="4"/>
    </row>
    <row r="20" spans="1:15" x14ac:dyDescent="0.2">
      <c r="A20" s="45"/>
      <c r="B20" s="46"/>
      <c r="C20" s="46"/>
      <c r="D20" s="53"/>
      <c r="E20" s="187" t="s">
        <v>110</v>
      </c>
      <c r="F20" s="25" t="s">
        <v>547</v>
      </c>
      <c r="G20" s="25" t="s">
        <v>689</v>
      </c>
      <c r="H20" s="44"/>
      <c r="I20" s="25" t="s">
        <v>72</v>
      </c>
      <c r="J20" s="25" t="s">
        <v>429</v>
      </c>
      <c r="L20">
        <v>3</v>
      </c>
      <c r="M20" s="187" t="s">
        <v>280</v>
      </c>
      <c r="N20" s="18" t="s">
        <v>296</v>
      </c>
      <c r="O20" s="18" t="s">
        <v>459</v>
      </c>
    </row>
    <row r="21" spans="1:15" x14ac:dyDescent="0.2">
      <c r="A21" s="45"/>
      <c r="B21" s="46"/>
      <c r="C21" s="46"/>
      <c r="D21" s="53"/>
      <c r="E21" s="187"/>
      <c r="F21" s="4"/>
      <c r="G21" s="4"/>
      <c r="H21" s="44"/>
      <c r="I21" s="26" t="s">
        <v>41</v>
      </c>
      <c r="J21" s="25" t="s">
        <v>122</v>
      </c>
      <c r="M21" s="187"/>
      <c r="N21" s="4"/>
      <c r="O21" s="4"/>
    </row>
    <row r="22" spans="1:15" x14ac:dyDescent="0.2">
      <c r="A22" s="45"/>
      <c r="B22" s="46"/>
      <c r="C22" s="46"/>
      <c r="D22" s="53"/>
      <c r="E22" s="187"/>
      <c r="F22" s="4"/>
      <c r="G22" s="4"/>
      <c r="H22" s="44"/>
      <c r="I22" s="26" t="s">
        <v>41</v>
      </c>
      <c r="J22" s="25" t="s">
        <v>496</v>
      </c>
      <c r="M22" s="187"/>
      <c r="N22" s="4"/>
      <c r="O22" s="4"/>
    </row>
    <row r="23" spans="1:15" x14ac:dyDescent="0.2">
      <c r="A23" s="45"/>
      <c r="B23" s="46"/>
      <c r="C23" s="46"/>
      <c r="D23" s="53"/>
      <c r="E23" s="187" t="s">
        <v>120</v>
      </c>
      <c r="F23" s="25" t="s">
        <v>255</v>
      </c>
      <c r="G23" s="25" t="s">
        <v>690</v>
      </c>
      <c r="H23" s="44"/>
      <c r="M23" s="187" t="s">
        <v>69</v>
      </c>
      <c r="N23" s="25" t="s">
        <v>308</v>
      </c>
      <c r="O23" s="25" t="s">
        <v>685</v>
      </c>
    </row>
    <row r="24" spans="1:15" x14ac:dyDescent="0.2">
      <c r="A24" s="45"/>
      <c r="B24" s="46"/>
      <c r="C24" s="46"/>
      <c r="D24" s="53"/>
      <c r="E24" s="187"/>
      <c r="F24" s="4"/>
      <c r="G24" s="4"/>
      <c r="H24" s="44"/>
      <c r="M24" s="187"/>
      <c r="N24" s="4"/>
      <c r="O24" s="4"/>
    </row>
    <row r="25" spans="1:15" x14ac:dyDescent="0.2">
      <c r="A25" s="44"/>
      <c r="B25" s="46"/>
      <c r="C25" s="46"/>
      <c r="D25" s="53"/>
      <c r="E25" s="187"/>
      <c r="F25" s="4"/>
      <c r="G25" s="4"/>
      <c r="M25" s="187"/>
      <c r="N25" s="4"/>
      <c r="O25" s="4"/>
    </row>
    <row r="26" spans="1:15" x14ac:dyDescent="0.2">
      <c r="A26" s="44"/>
      <c r="B26" s="46"/>
      <c r="C26" s="46"/>
      <c r="D26" s="53"/>
      <c r="H26" s="44"/>
    </row>
    <row r="27" spans="1:15" x14ac:dyDescent="0.2">
      <c r="A27" s="44"/>
      <c r="B27" s="46"/>
      <c r="C27" s="46"/>
      <c r="D27" s="53"/>
      <c r="H27" s="44"/>
      <c r="L27">
        <v>12</v>
      </c>
      <c r="M27" s="25" t="s">
        <v>481</v>
      </c>
      <c r="N27" s="25" t="s">
        <v>686</v>
      </c>
    </row>
    <row r="28" spans="1:15" x14ac:dyDescent="0.2">
      <c r="A28" s="44"/>
      <c r="B28" s="46"/>
      <c r="C28" s="46"/>
      <c r="D28" s="53"/>
      <c r="H28" s="44"/>
      <c r="M28" s="26" t="s">
        <v>39</v>
      </c>
      <c r="N28" s="26" t="s">
        <v>457</v>
      </c>
    </row>
    <row r="29" spans="1:15" x14ac:dyDescent="0.2">
      <c r="A29" s="44"/>
      <c r="B29" s="46"/>
      <c r="C29" s="46"/>
      <c r="D29" s="53"/>
      <c r="H29" s="44"/>
      <c r="M29" s="25" t="s">
        <v>184</v>
      </c>
      <c r="N29" s="25" t="s">
        <v>454</v>
      </c>
    </row>
    <row r="30" spans="1:15" x14ac:dyDescent="0.2">
      <c r="A30" s="44"/>
      <c r="B30" s="46"/>
      <c r="C30" s="46"/>
      <c r="D30" s="53"/>
      <c r="H30" s="44"/>
      <c r="M30" s="25" t="s">
        <v>286</v>
      </c>
      <c r="N30" s="25" t="s">
        <v>515</v>
      </c>
    </row>
    <row r="31" spans="1:15" x14ac:dyDescent="0.2">
      <c r="A31" s="44"/>
      <c r="B31" s="46"/>
      <c r="C31" s="46"/>
      <c r="D31" s="53"/>
      <c r="H31" s="44"/>
      <c r="M31" s="26" t="s">
        <v>41</v>
      </c>
      <c r="N31" s="25" t="s">
        <v>122</v>
      </c>
    </row>
    <row r="32" spans="1:15" x14ac:dyDescent="0.2">
      <c r="A32" s="44"/>
      <c r="B32" s="46"/>
      <c r="C32" s="46"/>
      <c r="D32" s="53"/>
      <c r="H32" s="44"/>
      <c r="L32" t="s">
        <v>465</v>
      </c>
      <c r="M32" s="26" t="s">
        <v>41</v>
      </c>
      <c r="N32" s="25" t="s">
        <v>496</v>
      </c>
    </row>
    <row r="33" spans="1:14" x14ac:dyDescent="0.2">
      <c r="A33" s="44"/>
      <c r="B33" s="46"/>
      <c r="C33" s="46"/>
      <c r="D33" s="53"/>
      <c r="H33" s="44"/>
    </row>
    <row r="34" spans="1:14" x14ac:dyDescent="0.2">
      <c r="A34" s="44"/>
      <c r="B34" s="54"/>
      <c r="C34" s="46"/>
      <c r="D34" s="53"/>
      <c r="H34" s="44"/>
      <c r="L34">
        <v>13</v>
      </c>
      <c r="M34" s="25" t="s">
        <v>481</v>
      </c>
      <c r="N34" s="25" t="s">
        <v>686</v>
      </c>
    </row>
    <row r="35" spans="1:14" x14ac:dyDescent="0.2">
      <c r="M35" s="26" t="s">
        <v>39</v>
      </c>
      <c r="N35" s="26" t="s">
        <v>457</v>
      </c>
    </row>
    <row r="36" spans="1:14" x14ac:dyDescent="0.2">
      <c r="M36" s="25" t="s">
        <v>184</v>
      </c>
      <c r="N36" s="25" t="s">
        <v>454</v>
      </c>
    </row>
    <row r="37" spans="1:14" x14ac:dyDescent="0.2">
      <c r="M37" s="25" t="s">
        <v>296</v>
      </c>
      <c r="N37" s="25" t="s">
        <v>459</v>
      </c>
    </row>
    <row r="38" spans="1:14" x14ac:dyDescent="0.2">
      <c r="M38" s="26" t="s">
        <v>41</v>
      </c>
      <c r="N38" s="25" t="s">
        <v>122</v>
      </c>
    </row>
    <row r="39" spans="1:14" x14ac:dyDescent="0.2">
      <c r="M39" s="26" t="s">
        <v>41</v>
      </c>
      <c r="N39" s="25" t="s">
        <v>496</v>
      </c>
    </row>
    <row r="41" spans="1:14" x14ac:dyDescent="0.2">
      <c r="L41">
        <v>23</v>
      </c>
      <c r="M41" s="25" t="s">
        <v>481</v>
      </c>
      <c r="N41" s="25" t="s">
        <v>686</v>
      </c>
    </row>
    <row r="42" spans="1:14" x14ac:dyDescent="0.2">
      <c r="M42" s="26" t="s">
        <v>39</v>
      </c>
      <c r="N42" s="26" t="s">
        <v>457</v>
      </c>
    </row>
    <row r="43" spans="1:14" x14ac:dyDescent="0.2">
      <c r="M43" s="25" t="s">
        <v>286</v>
      </c>
      <c r="N43" s="25" t="s">
        <v>515</v>
      </c>
    </row>
    <row r="44" spans="1:14" x14ac:dyDescent="0.2">
      <c r="M44" s="25" t="s">
        <v>296</v>
      </c>
      <c r="N44" s="25" t="s">
        <v>459</v>
      </c>
    </row>
    <row r="45" spans="1:14" x14ac:dyDescent="0.2">
      <c r="M45" s="26" t="s">
        <v>41</v>
      </c>
      <c r="N45" s="25" t="s">
        <v>122</v>
      </c>
    </row>
    <row r="46" spans="1:14" x14ac:dyDescent="0.2">
      <c r="M46" s="26" t="s">
        <v>41</v>
      </c>
      <c r="N46" s="25" t="s">
        <v>496</v>
      </c>
    </row>
  </sheetData>
  <mergeCells count="21">
    <mergeCell ref="M17:M19"/>
    <mergeCell ref="M20:M22"/>
    <mergeCell ref="M23:M25"/>
    <mergeCell ref="M7:O7"/>
    <mergeCell ref="M8:O8"/>
    <mergeCell ref="M10:M12"/>
    <mergeCell ref="M14:M16"/>
    <mergeCell ref="A13:A15"/>
    <mergeCell ref="E14:E16"/>
    <mergeCell ref="I13:I15"/>
    <mergeCell ref="E23:E25"/>
    <mergeCell ref="E17:E19"/>
    <mergeCell ref="E20:E22"/>
    <mergeCell ref="I10:I12"/>
    <mergeCell ref="A10:A12"/>
    <mergeCell ref="E10:E12"/>
    <mergeCell ref="A7:C7"/>
    <mergeCell ref="E7:G7"/>
    <mergeCell ref="I7:K7"/>
    <mergeCell ref="E8:G8"/>
    <mergeCell ref="I8:K8"/>
  </mergeCells>
  <phoneticPr fontId="5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40"/>
  <sheetViews>
    <sheetView workbookViewId="0">
      <selection activeCell="N28" sqref="N28"/>
    </sheetView>
  </sheetViews>
  <sheetFormatPr defaultRowHeight="12.75" x14ac:dyDescent="0.2"/>
  <sheetData>
    <row r="3" spans="1:13" x14ac:dyDescent="0.2">
      <c r="A3" s="9"/>
      <c r="B3" s="48">
        <v>4.3899999999999997</v>
      </c>
      <c r="C3" s="48">
        <v>5.79</v>
      </c>
      <c r="D3" s="15" t="s">
        <v>510</v>
      </c>
      <c r="E3" s="48">
        <v>20</v>
      </c>
      <c r="F3" s="12" t="s">
        <v>692</v>
      </c>
      <c r="G3" s="12" t="s">
        <v>358</v>
      </c>
      <c r="H3" s="12" t="s">
        <v>693</v>
      </c>
      <c r="I3" s="58">
        <v>50.82</v>
      </c>
      <c r="J3" s="12" t="s">
        <v>694</v>
      </c>
      <c r="K3">
        <v>-3.58</v>
      </c>
    </row>
    <row r="4" spans="1:13" x14ac:dyDescent="0.2">
      <c r="A4" s="72" t="s">
        <v>0</v>
      </c>
      <c r="B4" s="96">
        <f>40/B3</f>
        <v>9.1116173120728927</v>
      </c>
      <c r="C4" s="95">
        <f>40/C3</f>
        <v>6.9084628670120898</v>
      </c>
      <c r="D4" s="95">
        <f t="shared" ref="D4:K4" si="0">40/D3</f>
        <v>3.0935808197989174</v>
      </c>
      <c r="E4" s="95">
        <f t="shared" si="0"/>
        <v>2</v>
      </c>
      <c r="F4" s="95">
        <f t="shared" si="0"/>
        <v>1.3661202185792349</v>
      </c>
      <c r="G4" s="95">
        <f t="shared" si="0"/>
        <v>1</v>
      </c>
      <c r="H4" s="95">
        <f t="shared" si="0"/>
        <v>0.8771929824561403</v>
      </c>
      <c r="I4" s="95">
        <f t="shared" si="0"/>
        <v>0.78709169618260522</v>
      </c>
      <c r="J4" s="95">
        <f t="shared" si="0"/>
        <v>0.66456221963781359</v>
      </c>
      <c r="K4" s="95">
        <f t="shared" si="0"/>
        <v>-11.173184357541899</v>
      </c>
    </row>
    <row r="5" spans="1:13" x14ac:dyDescent="0.2">
      <c r="A5" s="72" t="s">
        <v>1</v>
      </c>
      <c r="B5" s="72"/>
      <c r="C5" s="73">
        <f t="shared" ref="C5:J5" si="1">B4/C4</f>
        <v>1.3189066059225512</v>
      </c>
      <c r="D5" s="43">
        <f t="shared" si="1"/>
        <v>2.233160621761658</v>
      </c>
      <c r="E5" s="73">
        <f t="shared" si="1"/>
        <v>1.5467904098994587</v>
      </c>
      <c r="F5" s="22">
        <f t="shared" si="1"/>
        <v>1.464</v>
      </c>
      <c r="G5" s="22">
        <f t="shared" si="1"/>
        <v>1.3661202185792349</v>
      </c>
      <c r="H5" s="22">
        <f t="shared" si="1"/>
        <v>1.1400000000000001</v>
      </c>
      <c r="I5" s="22">
        <f t="shared" si="1"/>
        <v>1.1144736842105263</v>
      </c>
      <c r="J5" s="22">
        <f t="shared" si="1"/>
        <v>1.1843762298307752</v>
      </c>
      <c r="L5" t="s">
        <v>540</v>
      </c>
      <c r="M5">
        <f>B4/J4</f>
        <v>13.710706150341686</v>
      </c>
    </row>
    <row r="6" spans="1:13" x14ac:dyDescent="0.2">
      <c r="A6" s="9"/>
      <c r="B6" s="9"/>
      <c r="C6" s="50">
        <f>100/C4</f>
        <v>14.475</v>
      </c>
      <c r="D6" s="8">
        <f t="shared" ref="D6:J6" si="2">100/D4</f>
        <v>32.324999999999996</v>
      </c>
      <c r="E6" s="50">
        <f t="shared" si="2"/>
        <v>50</v>
      </c>
      <c r="F6" s="7">
        <f t="shared" si="2"/>
        <v>73.2</v>
      </c>
      <c r="G6" s="7">
        <f t="shared" si="2"/>
        <v>100</v>
      </c>
      <c r="H6" s="7">
        <f t="shared" si="2"/>
        <v>114</v>
      </c>
      <c r="I6" s="7">
        <f t="shared" si="2"/>
        <v>127.05000000000001</v>
      </c>
      <c r="J6" s="7">
        <f t="shared" si="2"/>
        <v>150.47499999999999</v>
      </c>
    </row>
    <row r="7" spans="1:13" x14ac:dyDescent="0.2">
      <c r="B7">
        <f>1/B4</f>
        <v>0.10975</v>
      </c>
      <c r="C7">
        <f t="shared" ref="C7:J7" si="3">1/C4</f>
        <v>0.14474999999999999</v>
      </c>
      <c r="D7">
        <f t="shared" si="3"/>
        <v>0.32324999999999998</v>
      </c>
      <c r="E7">
        <f t="shared" si="3"/>
        <v>0.5</v>
      </c>
      <c r="F7">
        <f t="shared" si="3"/>
        <v>0.73199999999999998</v>
      </c>
      <c r="G7">
        <f t="shared" si="3"/>
        <v>1</v>
      </c>
      <c r="H7">
        <f t="shared" si="3"/>
        <v>1.1400000000000001</v>
      </c>
      <c r="I7">
        <f t="shared" si="3"/>
        <v>1.2705000000000002</v>
      </c>
      <c r="J7">
        <f t="shared" si="3"/>
        <v>1.50475</v>
      </c>
    </row>
    <row r="8" spans="1:13" x14ac:dyDescent="0.2">
      <c r="A8" s="188" t="s">
        <v>60</v>
      </c>
      <c r="B8" s="188"/>
      <c r="C8" s="188"/>
      <c r="D8" s="52"/>
      <c r="E8" s="189" t="s">
        <v>97</v>
      </c>
      <c r="F8" s="189"/>
      <c r="G8" s="189"/>
      <c r="I8" s="189" t="s">
        <v>98</v>
      </c>
      <c r="J8" s="189"/>
      <c r="K8" s="189"/>
    </row>
    <row r="9" spans="1:13" x14ac:dyDescent="0.2">
      <c r="B9" s="51"/>
      <c r="C9" s="2"/>
      <c r="D9" s="52"/>
      <c r="E9" s="185"/>
      <c r="F9" s="185"/>
      <c r="G9" s="185"/>
      <c r="I9" s="185"/>
      <c r="J9" s="185"/>
      <c r="K9" s="185"/>
    </row>
    <row r="10" spans="1:13" x14ac:dyDescent="0.2">
      <c r="A10" s="7" t="s">
        <v>2</v>
      </c>
      <c r="B10" s="8" t="s">
        <v>3</v>
      </c>
      <c r="C10" s="20" t="s">
        <v>0</v>
      </c>
      <c r="D10" s="52"/>
      <c r="E10" s="7" t="s">
        <v>2</v>
      </c>
      <c r="F10" s="7" t="s">
        <v>3</v>
      </c>
      <c r="G10" s="21" t="s">
        <v>0</v>
      </c>
      <c r="I10" s="7" t="s">
        <v>2</v>
      </c>
      <c r="J10" s="7" t="s">
        <v>3</v>
      </c>
      <c r="K10" s="21" t="s">
        <v>0</v>
      </c>
    </row>
    <row r="11" spans="1:13" x14ac:dyDescent="0.2">
      <c r="A11" s="187" t="s">
        <v>10</v>
      </c>
      <c r="B11" s="18" t="s">
        <v>10</v>
      </c>
      <c r="C11" s="18" t="s">
        <v>744</v>
      </c>
      <c r="D11" s="53"/>
      <c r="E11" s="187"/>
      <c r="F11" s="29"/>
      <c r="G11" s="29"/>
      <c r="H11" s="39">
        <v>1</v>
      </c>
      <c r="I11" s="187"/>
      <c r="J11" s="18"/>
      <c r="K11" s="18"/>
    </row>
    <row r="12" spans="1:13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</row>
    <row r="13" spans="1:13" x14ac:dyDescent="0.2">
      <c r="A13" s="187"/>
      <c r="B13" s="5"/>
      <c r="C13" s="5"/>
      <c r="D13" s="53"/>
      <c r="E13" s="187"/>
      <c r="F13" s="4"/>
      <c r="G13" s="4"/>
      <c r="H13" s="39"/>
      <c r="I13" s="187"/>
      <c r="J13" s="4"/>
      <c r="K13" s="86"/>
    </row>
    <row r="14" spans="1:13" x14ac:dyDescent="0.2">
      <c r="A14" s="187" t="s">
        <v>117</v>
      </c>
      <c r="B14" s="18" t="s">
        <v>128</v>
      </c>
      <c r="C14" s="18" t="s">
        <v>696</v>
      </c>
      <c r="D14" s="53"/>
      <c r="E14" s="60"/>
      <c r="F14" s="67"/>
      <c r="I14" s="187"/>
      <c r="J14" s="26"/>
      <c r="K14" s="26"/>
    </row>
    <row r="15" spans="1:13" x14ac:dyDescent="0.2">
      <c r="A15" s="187"/>
      <c r="B15" s="5"/>
      <c r="C15" s="5"/>
      <c r="D15" s="53"/>
      <c r="I15" s="187"/>
      <c r="J15" s="4"/>
      <c r="K15" s="4"/>
    </row>
    <row r="16" spans="1:13" x14ac:dyDescent="0.2">
      <c r="A16" s="187"/>
      <c r="B16" s="5"/>
      <c r="C16" s="5"/>
      <c r="D16" s="53"/>
      <c r="I16" s="187"/>
      <c r="J16" s="4"/>
      <c r="K16" s="86"/>
    </row>
    <row r="17" spans="1:11" x14ac:dyDescent="0.2">
      <c r="A17" s="4" t="s">
        <v>41</v>
      </c>
      <c r="B17" s="5" t="s">
        <v>373</v>
      </c>
      <c r="C17" s="46"/>
      <c r="D17" s="53"/>
      <c r="H17">
        <v>2</v>
      </c>
      <c r="I17" s="187"/>
      <c r="J17" s="18"/>
      <c r="K17" s="18"/>
    </row>
    <row r="18" spans="1:11" x14ac:dyDescent="0.2">
      <c r="A18" s="4" t="s">
        <v>41</v>
      </c>
      <c r="B18" s="5" t="s">
        <v>695</v>
      </c>
      <c r="C18" s="46"/>
      <c r="D18" s="53"/>
      <c r="I18" s="187"/>
      <c r="J18" s="4"/>
      <c r="K18" s="4"/>
    </row>
    <row r="19" spans="1:11" x14ac:dyDescent="0.2">
      <c r="D19" s="53"/>
      <c r="I19" s="187"/>
      <c r="J19" s="4"/>
      <c r="K19" s="86"/>
    </row>
    <row r="20" spans="1:11" x14ac:dyDescent="0.2">
      <c r="D20" s="53"/>
      <c r="H20">
        <v>3</v>
      </c>
      <c r="I20" s="187"/>
      <c r="J20" s="29"/>
      <c r="K20" s="29"/>
    </row>
    <row r="21" spans="1:11" x14ac:dyDescent="0.2">
      <c r="D21" s="53"/>
      <c r="I21" s="187"/>
      <c r="J21" s="4"/>
      <c r="K21" s="4"/>
    </row>
    <row r="22" spans="1:11" x14ac:dyDescent="0.2">
      <c r="D22" s="53"/>
      <c r="I22" s="187"/>
      <c r="J22" s="4"/>
      <c r="K22" s="86"/>
    </row>
    <row r="23" spans="1:11" x14ac:dyDescent="0.2">
      <c r="D23" s="53"/>
      <c r="H23" t="s">
        <v>465</v>
      </c>
      <c r="I23" s="187"/>
      <c r="J23" s="25"/>
      <c r="K23" s="25"/>
    </row>
    <row r="24" spans="1:11" x14ac:dyDescent="0.2">
      <c r="D24" s="53"/>
      <c r="I24" s="187"/>
      <c r="J24" s="4"/>
      <c r="K24" s="4"/>
    </row>
    <row r="25" spans="1:11" x14ac:dyDescent="0.2">
      <c r="D25" s="53"/>
      <c r="I25" s="187"/>
      <c r="J25" s="4"/>
      <c r="K25" s="86"/>
    </row>
    <row r="26" spans="1:11" x14ac:dyDescent="0.2">
      <c r="D26" s="53"/>
      <c r="H26">
        <v>4</v>
      </c>
      <c r="I26" s="187"/>
      <c r="J26" s="29"/>
      <c r="K26" s="29"/>
    </row>
    <row r="27" spans="1:11" x14ac:dyDescent="0.2">
      <c r="D27" s="53"/>
      <c r="I27" s="187"/>
      <c r="J27" s="4"/>
      <c r="K27" s="4"/>
    </row>
    <row r="28" spans="1:11" x14ac:dyDescent="0.2">
      <c r="D28" s="53"/>
      <c r="I28" s="187"/>
      <c r="J28" s="4"/>
      <c r="K28" s="86"/>
    </row>
    <row r="34" spans="4:19" ht="26.25" x14ac:dyDescent="0.4">
      <c r="D34" s="251" t="s">
        <v>837</v>
      </c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</row>
    <row r="36" spans="4:19" ht="25.5" x14ac:dyDescent="0.35">
      <c r="D36" s="250" t="s">
        <v>834</v>
      </c>
      <c r="E36" s="250"/>
      <c r="F36" s="250"/>
      <c r="G36" s="250"/>
      <c r="H36" s="250"/>
      <c r="I36" s="250"/>
      <c r="J36" s="250"/>
      <c r="K36" s="250"/>
      <c r="L36" s="250"/>
    </row>
    <row r="37" spans="4:19" ht="25.5" x14ac:dyDescent="0.35">
      <c r="D37" s="138"/>
      <c r="E37" s="138"/>
      <c r="F37" s="138"/>
      <c r="G37" s="138"/>
      <c r="H37" s="138"/>
      <c r="I37" s="138"/>
      <c r="J37" s="138"/>
      <c r="K37" s="138"/>
      <c r="L37" s="138"/>
    </row>
    <row r="38" spans="4:19" ht="25.5" x14ac:dyDescent="0.35">
      <c r="D38" s="250" t="s">
        <v>835</v>
      </c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</row>
    <row r="40" spans="4:19" ht="25.5" x14ac:dyDescent="0.35">
      <c r="D40" s="250" t="s">
        <v>836</v>
      </c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</row>
  </sheetData>
  <mergeCells count="18">
    <mergeCell ref="A8:C8"/>
    <mergeCell ref="I17:I19"/>
    <mergeCell ref="I20:I22"/>
    <mergeCell ref="A11:A13"/>
    <mergeCell ref="E11:E13"/>
    <mergeCell ref="I11:I13"/>
    <mergeCell ref="A14:A16"/>
    <mergeCell ref="I14:I16"/>
    <mergeCell ref="E8:G8"/>
    <mergeCell ref="I8:K8"/>
    <mergeCell ref="E9:G9"/>
    <mergeCell ref="I9:K9"/>
    <mergeCell ref="D34:P34"/>
    <mergeCell ref="D36:L36"/>
    <mergeCell ref="D38:S38"/>
    <mergeCell ref="D40:O40"/>
    <mergeCell ref="I23:I25"/>
    <mergeCell ref="I26:I28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3"/>
  <sheetViews>
    <sheetView topLeftCell="A7" workbookViewId="0">
      <selection activeCell="H44" sqref="H44"/>
    </sheetView>
  </sheetViews>
  <sheetFormatPr defaultRowHeight="12.75" x14ac:dyDescent="0.2"/>
  <sheetData>
    <row r="3" spans="1:11" x14ac:dyDescent="0.2">
      <c r="A3" s="9"/>
      <c r="B3" s="48">
        <v>4.3899999999999997</v>
      </c>
      <c r="C3" s="48">
        <v>5.79</v>
      </c>
      <c r="D3" s="15" t="s">
        <v>510</v>
      </c>
      <c r="E3" s="48">
        <v>20</v>
      </c>
      <c r="F3" s="12" t="s">
        <v>692</v>
      </c>
      <c r="G3" s="12" t="s">
        <v>358</v>
      </c>
      <c r="H3" s="12" t="s">
        <v>693</v>
      </c>
      <c r="I3" s="58">
        <v>50.82</v>
      </c>
      <c r="J3" s="12" t="s">
        <v>694</v>
      </c>
      <c r="K3">
        <v>-3.58</v>
      </c>
    </row>
    <row r="4" spans="1:11" x14ac:dyDescent="0.2">
      <c r="A4" s="72" t="s">
        <v>0</v>
      </c>
      <c r="B4" s="96">
        <f>60.19/B3</f>
        <v>13.710706150341686</v>
      </c>
      <c r="C4" s="96">
        <f t="shared" ref="C4:K4" si="0">60.19/C3</f>
        <v>10.395509499136441</v>
      </c>
      <c r="D4" s="96">
        <f t="shared" si="0"/>
        <v>4.6550657385924206</v>
      </c>
      <c r="E4" s="96">
        <f t="shared" si="0"/>
        <v>3.0095000000000001</v>
      </c>
      <c r="F4" s="96">
        <f t="shared" si="0"/>
        <v>2.0556693989071038</v>
      </c>
      <c r="G4" s="96">
        <f t="shared" si="0"/>
        <v>1.50475</v>
      </c>
      <c r="H4" s="96">
        <f t="shared" si="0"/>
        <v>1.319956140350877</v>
      </c>
      <c r="I4" s="96">
        <f t="shared" si="0"/>
        <v>1.1843762298307752</v>
      </c>
      <c r="J4" s="96">
        <f t="shared" si="0"/>
        <v>1</v>
      </c>
      <c r="K4" s="96">
        <f t="shared" si="0"/>
        <v>-16.812849162011172</v>
      </c>
    </row>
    <row r="5" spans="1:11" x14ac:dyDescent="0.2">
      <c r="A5" s="72" t="s">
        <v>1</v>
      </c>
      <c r="B5" s="72"/>
      <c r="C5" s="73">
        <f t="shared" ref="C5:J5" si="1">B4/C4</f>
        <v>1.3189066059225514</v>
      </c>
      <c r="D5" s="43">
        <f t="shared" si="1"/>
        <v>2.233160621761658</v>
      </c>
      <c r="E5" s="73">
        <f t="shared" si="1"/>
        <v>1.5467904098994585</v>
      </c>
      <c r="F5" s="22">
        <f t="shared" si="1"/>
        <v>1.464</v>
      </c>
      <c r="G5" s="22">
        <f t="shared" si="1"/>
        <v>1.3661202185792349</v>
      </c>
      <c r="H5" s="22">
        <f t="shared" si="1"/>
        <v>1.1400000000000001</v>
      </c>
      <c r="I5" s="22">
        <f t="shared" si="1"/>
        <v>1.1144736842105263</v>
      </c>
      <c r="J5" s="22">
        <f t="shared" si="1"/>
        <v>1.1843762298307752</v>
      </c>
    </row>
    <row r="6" spans="1:11" x14ac:dyDescent="0.2">
      <c r="A6" s="9"/>
      <c r="B6" s="9"/>
      <c r="C6" s="50">
        <f>100/C4</f>
        <v>9.6195381292573519</v>
      </c>
      <c r="D6" s="8">
        <f t="shared" ref="D6:J6" si="2">100/D4</f>
        <v>21.481973749792324</v>
      </c>
      <c r="E6" s="50">
        <f t="shared" si="2"/>
        <v>33.22811098189068</v>
      </c>
      <c r="F6" s="7">
        <f t="shared" si="2"/>
        <v>48.645954477487955</v>
      </c>
      <c r="G6" s="7">
        <f t="shared" si="2"/>
        <v>66.45622196378136</v>
      </c>
      <c r="H6" s="7">
        <f t="shared" si="2"/>
        <v>75.760093038710764</v>
      </c>
      <c r="I6" s="7">
        <f t="shared" si="2"/>
        <v>84.432630004984219</v>
      </c>
      <c r="J6" s="7">
        <f t="shared" si="2"/>
        <v>100</v>
      </c>
    </row>
    <row r="7" spans="1:11" x14ac:dyDescent="0.2">
      <c r="B7">
        <f>1/B4</f>
        <v>7.2935703605250035E-2</v>
      </c>
      <c r="C7">
        <f t="shared" ref="C7:J7" si="3">1/C4</f>
        <v>9.6195381292573531E-2</v>
      </c>
      <c r="D7">
        <f t="shared" si="3"/>
        <v>0.21481973749792324</v>
      </c>
      <c r="E7">
        <f t="shared" si="3"/>
        <v>0.33228110981890679</v>
      </c>
      <c r="F7">
        <f t="shared" si="3"/>
        <v>0.48645954477487957</v>
      </c>
      <c r="G7">
        <f t="shared" si="3"/>
        <v>0.66456221963781359</v>
      </c>
      <c r="H7">
        <f t="shared" si="3"/>
        <v>0.75760093038710763</v>
      </c>
      <c r="I7">
        <f t="shared" si="3"/>
        <v>0.84432630004984222</v>
      </c>
      <c r="J7">
        <f t="shared" si="3"/>
        <v>1</v>
      </c>
    </row>
    <row r="8" spans="1:11" x14ac:dyDescent="0.2">
      <c r="A8" s="188" t="s">
        <v>60</v>
      </c>
      <c r="B8" s="188"/>
      <c r="C8" s="188"/>
      <c r="D8" s="52"/>
      <c r="E8" s="189" t="s">
        <v>97</v>
      </c>
      <c r="F8" s="189"/>
      <c r="G8" s="189"/>
      <c r="I8" s="189" t="s">
        <v>98</v>
      </c>
      <c r="J8" s="189"/>
      <c r="K8" s="189"/>
    </row>
    <row r="9" spans="1:11" x14ac:dyDescent="0.2">
      <c r="B9" s="51"/>
      <c r="C9" s="2"/>
      <c r="D9" s="52"/>
      <c r="E9" s="185"/>
      <c r="F9" s="185"/>
      <c r="G9" s="185"/>
      <c r="I9" s="185"/>
      <c r="J9" s="185"/>
      <c r="K9" s="185"/>
    </row>
    <row r="10" spans="1:11" x14ac:dyDescent="0.2">
      <c r="A10" s="7" t="s">
        <v>2</v>
      </c>
      <c r="B10" s="8" t="s">
        <v>3</v>
      </c>
      <c r="C10" s="20" t="s">
        <v>0</v>
      </c>
      <c r="D10" s="52"/>
      <c r="E10" s="7" t="s">
        <v>2</v>
      </c>
      <c r="F10" s="7" t="s">
        <v>3</v>
      </c>
      <c r="G10" s="21" t="s">
        <v>0</v>
      </c>
      <c r="I10" s="7" t="s">
        <v>2</v>
      </c>
      <c r="J10" s="7" t="s">
        <v>3</v>
      </c>
      <c r="K10" s="21" t="s">
        <v>0</v>
      </c>
    </row>
    <row r="11" spans="1:11" x14ac:dyDescent="0.2">
      <c r="A11" s="187" t="s">
        <v>477</v>
      </c>
      <c r="B11" s="18" t="s">
        <v>698</v>
      </c>
      <c r="C11" s="18" t="s">
        <v>576</v>
      </c>
      <c r="D11" s="53"/>
      <c r="E11" s="187"/>
      <c r="F11" s="29"/>
      <c r="G11" s="29"/>
      <c r="H11" s="39">
        <v>1</v>
      </c>
      <c r="I11" s="187"/>
      <c r="J11" s="18"/>
      <c r="K11" s="18"/>
    </row>
    <row r="12" spans="1:11" x14ac:dyDescent="0.2">
      <c r="A12" s="187"/>
      <c r="B12" s="5"/>
      <c r="C12" s="5"/>
      <c r="D12" s="53"/>
      <c r="E12" s="187"/>
      <c r="F12" s="4"/>
      <c r="G12" s="4"/>
      <c r="H12" s="39"/>
      <c r="I12" s="187"/>
      <c r="J12" s="4"/>
      <c r="K12" s="4"/>
    </row>
    <row r="13" spans="1:11" x14ac:dyDescent="0.2">
      <c r="A13" s="187"/>
      <c r="B13" s="5"/>
      <c r="C13" s="5"/>
      <c r="D13" s="53"/>
      <c r="E13" s="187"/>
      <c r="F13" s="4"/>
      <c r="G13" s="4"/>
      <c r="H13" s="39"/>
      <c r="I13" s="187"/>
      <c r="J13" s="4"/>
      <c r="K13" s="86"/>
    </row>
    <row r="14" spans="1:11" x14ac:dyDescent="0.2">
      <c r="A14" s="187" t="s">
        <v>118</v>
      </c>
      <c r="B14" s="18" t="s">
        <v>331</v>
      </c>
      <c r="C14" s="18" t="s">
        <v>699</v>
      </c>
      <c r="D14" s="53"/>
      <c r="E14" s="60"/>
      <c r="F14" s="67"/>
      <c r="I14" s="187"/>
      <c r="J14" s="26"/>
      <c r="K14" s="26"/>
    </row>
    <row r="15" spans="1:11" x14ac:dyDescent="0.2">
      <c r="A15" s="187"/>
      <c r="B15" s="5"/>
      <c r="C15" s="5"/>
      <c r="D15" s="53"/>
      <c r="I15" s="187"/>
      <c r="J15" s="4"/>
      <c r="K15" s="4"/>
    </row>
    <row r="16" spans="1:11" x14ac:dyDescent="0.2">
      <c r="A16" s="187"/>
      <c r="B16" s="5"/>
      <c r="C16" s="5"/>
      <c r="D16" s="53"/>
      <c r="I16" s="187"/>
      <c r="J16" s="4"/>
      <c r="K16" s="86"/>
    </row>
    <row r="17" spans="1:11" x14ac:dyDescent="0.2">
      <c r="A17" s="4" t="s">
        <v>41</v>
      </c>
      <c r="B17" s="5" t="s">
        <v>373</v>
      </c>
      <c r="C17" s="46"/>
      <c r="D17" s="53"/>
      <c r="H17">
        <v>2</v>
      </c>
      <c r="I17" s="187"/>
      <c r="J17" s="18"/>
      <c r="K17" s="18"/>
    </row>
    <row r="18" spans="1:11" x14ac:dyDescent="0.2">
      <c r="A18" s="4" t="s">
        <v>41</v>
      </c>
      <c r="B18" s="5" t="s">
        <v>52</v>
      </c>
      <c r="C18" s="46"/>
      <c r="D18" s="53"/>
      <c r="I18" s="187"/>
      <c r="J18" s="4"/>
      <c r="K18" s="4"/>
    </row>
    <row r="19" spans="1:11" x14ac:dyDescent="0.2">
      <c r="A19" s="4" t="s">
        <v>41</v>
      </c>
      <c r="B19" s="5" t="s">
        <v>697</v>
      </c>
      <c r="D19" s="53"/>
      <c r="I19" s="187"/>
      <c r="J19" s="4"/>
      <c r="K19" s="86"/>
    </row>
    <row r="20" spans="1:11" x14ac:dyDescent="0.2">
      <c r="D20" s="53"/>
      <c r="H20">
        <v>3</v>
      </c>
      <c r="I20" s="187"/>
      <c r="J20" s="29"/>
      <c r="K20" s="29"/>
    </row>
    <row r="21" spans="1:11" x14ac:dyDescent="0.2">
      <c r="D21" s="53"/>
      <c r="I21" s="187"/>
      <c r="J21" s="4"/>
      <c r="K21" s="4"/>
    </row>
    <row r="22" spans="1:11" x14ac:dyDescent="0.2">
      <c r="D22" s="53"/>
      <c r="I22" s="187"/>
      <c r="J22" s="4"/>
      <c r="K22" s="86"/>
    </row>
    <row r="23" spans="1:11" x14ac:dyDescent="0.2">
      <c r="D23" s="53"/>
      <c r="H23" t="s">
        <v>465</v>
      </c>
      <c r="I23" s="187"/>
      <c r="J23" s="25"/>
      <c r="K23" s="25"/>
    </row>
    <row r="24" spans="1:11" x14ac:dyDescent="0.2">
      <c r="D24" s="53"/>
      <c r="I24" s="187"/>
      <c r="J24" s="4"/>
      <c r="K24" s="4"/>
    </row>
    <row r="25" spans="1:11" x14ac:dyDescent="0.2">
      <c r="D25" s="53"/>
      <c r="I25" s="187"/>
      <c r="J25" s="4"/>
      <c r="K25" s="86"/>
    </row>
    <row r="26" spans="1:11" x14ac:dyDescent="0.2">
      <c r="D26" s="53"/>
      <c r="H26">
        <v>4</v>
      </c>
      <c r="I26" s="187"/>
      <c r="J26" s="29"/>
      <c r="K26" s="29"/>
    </row>
    <row r="27" spans="1:11" x14ac:dyDescent="0.2">
      <c r="D27" s="53"/>
      <c r="I27" s="187"/>
      <c r="J27" s="4"/>
      <c r="K27" s="4"/>
    </row>
    <row r="28" spans="1:11" x14ac:dyDescent="0.2">
      <c r="D28" s="53"/>
      <c r="I28" s="187"/>
      <c r="J28" s="4"/>
      <c r="K28" s="86"/>
    </row>
    <row r="33" spans="1:25" ht="25.5" x14ac:dyDescent="0.35">
      <c r="A33" s="252" t="s">
        <v>839</v>
      </c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</row>
  </sheetData>
  <mergeCells count="15">
    <mergeCell ref="A33:Y33"/>
    <mergeCell ref="A14:A16"/>
    <mergeCell ref="A8:C8"/>
    <mergeCell ref="E8:G8"/>
    <mergeCell ref="I8:K8"/>
    <mergeCell ref="E9:G9"/>
    <mergeCell ref="I9:K9"/>
    <mergeCell ref="A11:A13"/>
    <mergeCell ref="E11:E13"/>
    <mergeCell ref="I11:I13"/>
    <mergeCell ref="I26:I28"/>
    <mergeCell ref="I14:I16"/>
    <mergeCell ref="I17:I19"/>
    <mergeCell ref="I20:I22"/>
    <mergeCell ref="I23:I25"/>
  </mergeCells>
  <phoneticPr fontId="5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workbookViewId="0">
      <selection activeCell="B5" sqref="B5:J5"/>
    </sheetView>
  </sheetViews>
  <sheetFormatPr defaultRowHeight="12.75" x14ac:dyDescent="0.2"/>
  <cols>
    <col min="5" max="5" width="10.5703125" customWidth="1"/>
    <col min="9" max="9" width="10.42578125" customWidth="1"/>
  </cols>
  <sheetData>
    <row r="1" spans="1:17" x14ac:dyDescent="0.2">
      <c r="A1" s="9"/>
      <c r="B1" s="48">
        <v>13.875</v>
      </c>
      <c r="C1" s="15" t="s">
        <v>319</v>
      </c>
      <c r="D1" s="48">
        <v>24.536999999999999</v>
      </c>
      <c r="E1" s="12" t="s">
        <v>321</v>
      </c>
      <c r="F1" s="12" t="s">
        <v>322</v>
      </c>
      <c r="G1" s="12" t="s">
        <v>108</v>
      </c>
      <c r="H1" s="12" t="s">
        <v>323</v>
      </c>
      <c r="I1" s="58">
        <v>63.036999999999999</v>
      </c>
      <c r="J1" s="12" t="s">
        <v>320</v>
      </c>
    </row>
    <row r="2" spans="1:17" x14ac:dyDescent="0.2">
      <c r="A2" s="19" t="s">
        <v>0</v>
      </c>
      <c r="B2" s="34">
        <f>50/B1</f>
        <v>3.6036036036036037</v>
      </c>
      <c r="C2" s="34">
        <f t="shared" ref="C2:J2" si="0">50/C1</f>
        <v>2.6950836284449906</v>
      </c>
      <c r="D2" s="34">
        <f t="shared" si="0"/>
        <v>2.0377389248889433</v>
      </c>
      <c r="E2" s="49">
        <f t="shared" si="0"/>
        <v>1.5384615384615385</v>
      </c>
      <c r="F2" s="34">
        <f t="shared" si="0"/>
        <v>1.2505627532389576</v>
      </c>
      <c r="G2" s="34">
        <f t="shared" si="0"/>
        <v>1</v>
      </c>
      <c r="H2" s="34">
        <f t="shared" si="0"/>
        <v>0.87153564580791354</v>
      </c>
      <c r="I2" s="34">
        <f t="shared" si="0"/>
        <v>0.79318495486777607</v>
      </c>
      <c r="J2" s="34">
        <f t="shared" si="0"/>
        <v>0.65737575598211939</v>
      </c>
    </row>
    <row r="3" spans="1:17" x14ac:dyDescent="0.2">
      <c r="A3" s="19" t="s">
        <v>1</v>
      </c>
      <c r="B3" s="34"/>
      <c r="C3" s="49">
        <f t="shared" ref="C3:J3" si="1">B2/C2</f>
        <v>1.3371027027027027</v>
      </c>
      <c r="D3" s="34">
        <f t="shared" si="1"/>
        <v>1.3225853398230947</v>
      </c>
      <c r="E3" s="36">
        <f t="shared" si="1"/>
        <v>1.3245303011778131</v>
      </c>
      <c r="F3" s="36">
        <f t="shared" si="1"/>
        <v>1.2302153846153847</v>
      </c>
      <c r="G3" s="36">
        <f t="shared" si="1"/>
        <v>1.2505627532389576</v>
      </c>
      <c r="H3" s="36">
        <f t="shared" si="1"/>
        <v>1.1474</v>
      </c>
      <c r="I3" s="36">
        <f t="shared" si="1"/>
        <v>1.098779850095869</v>
      </c>
      <c r="J3" s="36">
        <f t="shared" si="1"/>
        <v>1.2065929533448609</v>
      </c>
      <c r="L3" s="12" t="s">
        <v>562</v>
      </c>
      <c r="M3" s="94">
        <f>B2/J2</f>
        <v>5.4818018018018018</v>
      </c>
      <c r="N3" s="62"/>
    </row>
    <row r="4" spans="1:17" x14ac:dyDescent="0.2">
      <c r="A4" s="9"/>
      <c r="B4" s="50">
        <f>100/B2</f>
        <v>27.75</v>
      </c>
      <c r="C4" s="8">
        <f t="shared" ref="C4:J4" si="2">100/C2</f>
        <v>37.104599999999998</v>
      </c>
      <c r="D4" s="50">
        <f t="shared" si="2"/>
        <v>49.073999999999998</v>
      </c>
      <c r="E4" s="7">
        <f t="shared" si="2"/>
        <v>65</v>
      </c>
      <c r="F4" s="7">
        <f t="shared" si="2"/>
        <v>79.963999999999999</v>
      </c>
      <c r="G4" s="7">
        <f t="shared" si="2"/>
        <v>100</v>
      </c>
      <c r="H4" s="7">
        <f t="shared" si="2"/>
        <v>114.74</v>
      </c>
      <c r="I4" s="7">
        <f t="shared" si="2"/>
        <v>126.074</v>
      </c>
      <c r="J4" s="7">
        <f t="shared" si="2"/>
        <v>152.12</v>
      </c>
    </row>
    <row r="5" spans="1:17" x14ac:dyDescent="0.2">
      <c r="A5" s="2"/>
      <c r="B5" s="136">
        <f>1/B2</f>
        <v>0.27749999999999997</v>
      </c>
      <c r="C5" s="136">
        <f t="shared" ref="C5:J5" si="3">1/C2</f>
        <v>0.37104599999999999</v>
      </c>
      <c r="D5" s="136">
        <f t="shared" si="3"/>
        <v>0.49074000000000001</v>
      </c>
      <c r="E5" s="136">
        <f t="shared" si="3"/>
        <v>0.64999999999999991</v>
      </c>
      <c r="F5" s="136">
        <f t="shared" si="3"/>
        <v>0.79963999999999991</v>
      </c>
      <c r="G5" s="136">
        <f t="shared" si="3"/>
        <v>1</v>
      </c>
      <c r="H5" s="136">
        <f t="shared" si="3"/>
        <v>1.1474</v>
      </c>
      <c r="I5" s="136">
        <f t="shared" si="3"/>
        <v>1.26074</v>
      </c>
      <c r="J5" s="136">
        <f t="shared" si="3"/>
        <v>1.5211999999999999</v>
      </c>
      <c r="K5" s="14"/>
      <c r="L5" s="14"/>
      <c r="M5" s="14"/>
      <c r="N5" s="14"/>
      <c r="O5" s="14"/>
      <c r="P5" s="14"/>
      <c r="Q5" s="14"/>
    </row>
    <row r="6" spans="1:17" x14ac:dyDescent="0.2">
      <c r="A6" s="253" t="s">
        <v>60</v>
      </c>
      <c r="B6" s="253"/>
      <c r="C6" s="253"/>
      <c r="D6" s="63"/>
      <c r="E6" s="189" t="s">
        <v>97</v>
      </c>
      <c r="F6" s="189"/>
      <c r="G6" s="189"/>
      <c r="H6" s="14"/>
      <c r="I6" s="189" t="s">
        <v>98</v>
      </c>
      <c r="J6" s="189"/>
      <c r="K6" s="189"/>
      <c r="L6" s="14"/>
      <c r="M6" s="14"/>
      <c r="N6" s="14"/>
      <c r="O6" s="14"/>
      <c r="P6" s="14"/>
      <c r="Q6" s="14"/>
    </row>
    <row r="7" spans="1:17" x14ac:dyDescent="0.2">
      <c r="A7" s="2"/>
      <c r="B7" s="2"/>
      <c r="C7" s="2"/>
      <c r="D7" s="63"/>
      <c r="E7" s="185" t="s">
        <v>337</v>
      </c>
      <c r="F7" s="185"/>
      <c r="G7" s="185"/>
      <c r="H7" s="14"/>
      <c r="I7" s="185" t="s">
        <v>262</v>
      </c>
      <c r="J7" s="185"/>
      <c r="K7" s="185"/>
      <c r="L7" s="14"/>
      <c r="M7" s="14"/>
      <c r="N7" s="14"/>
      <c r="O7" s="14"/>
      <c r="P7" s="14"/>
      <c r="Q7" s="14"/>
    </row>
    <row r="8" spans="1:17" x14ac:dyDescent="0.2">
      <c r="A8" s="7" t="s">
        <v>2</v>
      </c>
      <c r="B8" s="8" t="s">
        <v>3</v>
      </c>
      <c r="C8" s="20" t="s">
        <v>0</v>
      </c>
      <c r="D8" s="63"/>
      <c r="E8" s="7" t="s">
        <v>2</v>
      </c>
      <c r="F8" s="7" t="s">
        <v>3</v>
      </c>
      <c r="G8" s="21" t="s">
        <v>0</v>
      </c>
      <c r="H8" s="14"/>
      <c r="I8" s="7" t="s">
        <v>2</v>
      </c>
      <c r="J8" s="7" t="s">
        <v>3</v>
      </c>
      <c r="K8" s="21" t="s">
        <v>0</v>
      </c>
      <c r="L8" s="14"/>
      <c r="M8" s="14"/>
      <c r="N8" s="14"/>
      <c r="O8" s="14"/>
      <c r="P8" s="14"/>
      <c r="Q8" s="14"/>
    </row>
    <row r="9" spans="1:17" x14ac:dyDescent="0.2">
      <c r="A9" s="187" t="s">
        <v>326</v>
      </c>
      <c r="B9" s="18" t="s">
        <v>327</v>
      </c>
      <c r="C9" s="18" t="s">
        <v>328</v>
      </c>
      <c r="D9" s="63"/>
      <c r="E9" s="187" t="s">
        <v>326</v>
      </c>
      <c r="F9" s="18" t="s">
        <v>327</v>
      </c>
      <c r="G9" s="18" t="s">
        <v>328</v>
      </c>
      <c r="H9" s="14"/>
      <c r="I9" s="187" t="s">
        <v>118</v>
      </c>
      <c r="J9" s="18" t="s">
        <v>331</v>
      </c>
      <c r="K9" s="18" t="s">
        <v>332</v>
      </c>
      <c r="L9" s="14"/>
      <c r="M9" s="14"/>
      <c r="N9" s="14"/>
      <c r="O9" s="14"/>
      <c r="P9" s="14"/>
      <c r="Q9" s="14"/>
    </row>
    <row r="10" spans="1:17" x14ac:dyDescent="0.2">
      <c r="A10" s="187"/>
      <c r="B10" s="5" t="s">
        <v>326</v>
      </c>
      <c r="C10" s="5" t="s">
        <v>324</v>
      </c>
      <c r="D10" s="63"/>
      <c r="E10" s="187"/>
      <c r="F10" s="5" t="s">
        <v>326</v>
      </c>
      <c r="G10" s="5" t="s">
        <v>324</v>
      </c>
      <c r="H10" s="14"/>
      <c r="I10" s="187"/>
      <c r="J10" s="5" t="s">
        <v>134</v>
      </c>
      <c r="K10" s="5" t="s">
        <v>325</v>
      </c>
      <c r="L10" s="14"/>
      <c r="M10" s="14"/>
      <c r="N10" s="14"/>
      <c r="O10" s="14"/>
      <c r="P10" s="14"/>
      <c r="Q10" s="14"/>
    </row>
    <row r="11" spans="1:17" x14ac:dyDescent="0.2">
      <c r="A11" s="187"/>
      <c r="B11" s="5" t="s">
        <v>329</v>
      </c>
      <c r="C11" s="5" t="s">
        <v>330</v>
      </c>
      <c r="D11" s="63"/>
      <c r="E11" s="187"/>
      <c r="F11" s="5" t="s">
        <v>329</v>
      </c>
      <c r="G11" s="5" t="s">
        <v>330</v>
      </c>
      <c r="H11" s="14"/>
      <c r="I11" s="187"/>
      <c r="J11" s="5" t="s">
        <v>333</v>
      </c>
      <c r="K11" s="5" t="s">
        <v>334</v>
      </c>
      <c r="L11" s="14"/>
      <c r="M11" s="14"/>
      <c r="N11" s="14"/>
      <c r="O11" s="14"/>
      <c r="P11" s="14"/>
      <c r="Q11" s="14"/>
    </row>
    <row r="12" spans="1:17" x14ac:dyDescent="0.2">
      <c r="A12" s="187" t="s">
        <v>118</v>
      </c>
      <c r="B12" s="18" t="s">
        <v>331</v>
      </c>
      <c r="C12" s="18" t="s">
        <v>332</v>
      </c>
      <c r="D12" s="63"/>
      <c r="E12" s="186">
        <v>239</v>
      </c>
      <c r="F12" s="64">
        <v>293</v>
      </c>
      <c r="G12" s="64">
        <v>-1.4279999999999999</v>
      </c>
      <c r="H12" s="2"/>
      <c r="I12" s="186">
        <v>459</v>
      </c>
      <c r="J12" s="64">
        <v>594</v>
      </c>
      <c r="K12" s="64">
        <v>-4.2640000000000002</v>
      </c>
      <c r="L12" s="14"/>
      <c r="M12" s="14"/>
      <c r="N12" s="14"/>
      <c r="O12" s="14"/>
      <c r="P12" s="14"/>
      <c r="Q12" s="14"/>
    </row>
    <row r="13" spans="1:17" x14ac:dyDescent="0.2">
      <c r="A13" s="187"/>
      <c r="B13" s="5" t="s">
        <v>134</v>
      </c>
      <c r="C13" s="5" t="s">
        <v>325</v>
      </c>
      <c r="D13" s="63"/>
      <c r="E13" s="186"/>
      <c r="F13" s="4" t="s">
        <v>298</v>
      </c>
      <c r="G13" s="4" t="s">
        <v>338</v>
      </c>
      <c r="H13" s="2"/>
      <c r="I13" s="186"/>
      <c r="J13" s="26" t="s">
        <v>49</v>
      </c>
      <c r="K13" s="26" t="s">
        <v>346</v>
      </c>
      <c r="L13" s="14"/>
      <c r="M13" s="14"/>
      <c r="N13" s="14"/>
      <c r="O13" s="14"/>
      <c r="P13" s="14"/>
      <c r="Q13" s="14"/>
    </row>
    <row r="14" spans="1:17" x14ac:dyDescent="0.2">
      <c r="A14" s="187"/>
      <c r="B14" s="5" t="s">
        <v>333</v>
      </c>
      <c r="C14" s="5" t="s">
        <v>334</v>
      </c>
      <c r="D14" s="63"/>
      <c r="E14" s="186"/>
      <c r="F14" s="4" t="s">
        <v>281</v>
      </c>
      <c r="G14" s="4" t="s">
        <v>339</v>
      </c>
      <c r="H14" s="2"/>
      <c r="I14" s="186"/>
      <c r="J14" s="4" t="s">
        <v>44</v>
      </c>
      <c r="K14" s="4" t="s">
        <v>347</v>
      </c>
      <c r="L14" s="14"/>
      <c r="M14" s="14"/>
      <c r="N14" s="14"/>
      <c r="O14" s="14"/>
      <c r="P14" s="14"/>
      <c r="Q14" s="14"/>
    </row>
    <row r="15" spans="1:17" x14ac:dyDescent="0.2">
      <c r="A15" s="187" t="s">
        <v>160</v>
      </c>
      <c r="B15" s="18">
        <v>204</v>
      </c>
      <c r="C15" s="18">
        <v>-1.3420000000000001</v>
      </c>
      <c r="D15" s="63"/>
      <c r="E15" s="187" t="s">
        <v>78</v>
      </c>
      <c r="F15" s="26" t="s">
        <v>70</v>
      </c>
      <c r="G15" s="26" t="s">
        <v>340</v>
      </c>
      <c r="H15" s="2"/>
      <c r="I15" s="187" t="s">
        <v>57</v>
      </c>
      <c r="J15" s="26" t="s">
        <v>59</v>
      </c>
      <c r="K15" s="26" t="s">
        <v>348</v>
      </c>
      <c r="L15" s="14"/>
      <c r="M15" s="14"/>
      <c r="N15" s="14"/>
      <c r="O15" s="14"/>
      <c r="P15" s="14"/>
      <c r="Q15" s="14"/>
    </row>
    <row r="16" spans="1:17" x14ac:dyDescent="0.2">
      <c r="A16" s="187"/>
      <c r="B16" s="5" t="s">
        <v>186</v>
      </c>
      <c r="C16" s="5" t="s">
        <v>335</v>
      </c>
      <c r="D16" s="63"/>
      <c r="E16" s="187"/>
      <c r="F16" s="4" t="s">
        <v>76</v>
      </c>
      <c r="G16" s="4" t="s">
        <v>341</v>
      </c>
      <c r="H16" s="2"/>
      <c r="I16" s="187"/>
      <c r="J16" s="4" t="s">
        <v>94</v>
      </c>
      <c r="K16" s="4" t="s">
        <v>349</v>
      </c>
      <c r="L16" s="14"/>
      <c r="M16" s="14"/>
      <c r="N16" s="14"/>
      <c r="O16" s="14"/>
      <c r="P16" s="14"/>
      <c r="Q16" s="14"/>
    </row>
    <row r="17" spans="1:17" x14ac:dyDescent="0.2">
      <c r="A17" s="187"/>
      <c r="B17" s="5" t="s">
        <v>184</v>
      </c>
      <c r="C17" s="5" t="s">
        <v>336</v>
      </c>
      <c r="D17" s="63"/>
      <c r="E17" s="187"/>
      <c r="F17" s="26" t="s">
        <v>78</v>
      </c>
      <c r="G17" s="26" t="s">
        <v>342</v>
      </c>
      <c r="H17" s="2"/>
      <c r="I17" s="187"/>
      <c r="J17" s="26" t="s">
        <v>57</v>
      </c>
      <c r="K17" s="26" t="s">
        <v>350</v>
      </c>
      <c r="L17" s="14"/>
      <c r="M17" s="14"/>
      <c r="N17" s="14"/>
      <c r="O17" s="14"/>
      <c r="P17" s="14"/>
      <c r="Q17" s="14"/>
    </row>
    <row r="18" spans="1:17" x14ac:dyDescent="0.2">
      <c r="A18" s="5" t="s">
        <v>41</v>
      </c>
      <c r="B18" s="5" t="s">
        <v>122</v>
      </c>
      <c r="C18" s="2"/>
      <c r="D18" s="63"/>
      <c r="E18" s="187" t="s">
        <v>35</v>
      </c>
      <c r="F18" s="29" t="s">
        <v>39</v>
      </c>
      <c r="G18" s="29" t="s">
        <v>343</v>
      </c>
      <c r="H18" s="2"/>
      <c r="I18" s="187" t="s">
        <v>72</v>
      </c>
      <c r="J18" s="29" t="s">
        <v>72</v>
      </c>
      <c r="K18" s="29" t="s">
        <v>351</v>
      </c>
      <c r="L18" s="14"/>
      <c r="M18" s="14"/>
      <c r="N18" s="14"/>
      <c r="O18" s="14"/>
      <c r="P18" s="14"/>
      <c r="Q18" s="14"/>
    </row>
    <row r="19" spans="1:17" x14ac:dyDescent="0.2">
      <c r="A19" s="2"/>
      <c r="B19" s="2"/>
      <c r="C19" s="2"/>
      <c r="D19" s="63"/>
      <c r="E19" s="187"/>
      <c r="F19" s="4" t="s">
        <v>88</v>
      </c>
      <c r="G19" s="4" t="s">
        <v>344</v>
      </c>
      <c r="H19" s="2"/>
      <c r="I19" s="187"/>
      <c r="J19" s="4" t="s">
        <v>71</v>
      </c>
      <c r="K19" s="4" t="s">
        <v>352</v>
      </c>
      <c r="L19" s="14"/>
      <c r="M19" s="14"/>
      <c r="N19" s="14"/>
      <c r="O19" s="14"/>
      <c r="P19" s="14"/>
      <c r="Q19" s="14"/>
    </row>
    <row r="20" spans="1:17" x14ac:dyDescent="0.2">
      <c r="A20" s="2"/>
      <c r="B20" s="2"/>
      <c r="C20" s="2"/>
      <c r="D20" s="63"/>
      <c r="E20" s="187"/>
      <c r="F20" s="4" t="s">
        <v>35</v>
      </c>
      <c r="G20" s="4" t="s">
        <v>345</v>
      </c>
      <c r="H20" s="2"/>
      <c r="I20" s="187"/>
      <c r="J20" s="4" t="s">
        <v>232</v>
      </c>
      <c r="K20" s="4" t="s">
        <v>353</v>
      </c>
      <c r="L20" s="14"/>
      <c r="M20" s="14"/>
      <c r="N20" s="14"/>
      <c r="O20" s="14"/>
      <c r="P20" s="14"/>
      <c r="Q20" s="14"/>
    </row>
    <row r="21" spans="1:17" x14ac:dyDescent="0.2">
      <c r="A21" s="2"/>
      <c r="B21" s="2"/>
      <c r="C21" s="2"/>
      <c r="D21" s="63"/>
      <c r="E21" s="6" t="s">
        <v>121</v>
      </c>
      <c r="F21" s="4" t="s">
        <v>169</v>
      </c>
      <c r="G21" s="7"/>
      <c r="H21" s="2"/>
      <c r="I21" s="6" t="s">
        <v>121</v>
      </c>
      <c r="J21" s="4" t="s">
        <v>237</v>
      </c>
      <c r="K21" s="7"/>
      <c r="L21" s="14"/>
      <c r="M21" s="14"/>
      <c r="N21" s="14"/>
      <c r="O21" s="14"/>
      <c r="P21" s="14"/>
      <c r="Q21" s="14"/>
    </row>
    <row r="22" spans="1:17" x14ac:dyDescent="0.2">
      <c r="A22" s="2"/>
      <c r="B22" s="2"/>
      <c r="C22" s="2"/>
      <c r="D22" s="63"/>
      <c r="E22" s="31"/>
      <c r="F22" s="1"/>
      <c r="G22" s="1"/>
      <c r="H22" s="2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2">
      <c r="A23" s="2"/>
      <c r="B23" s="2"/>
      <c r="C23" s="2"/>
      <c r="D23" s="63"/>
      <c r="E23" s="25" t="s">
        <v>331</v>
      </c>
      <c r="F23" s="25" t="s">
        <v>332</v>
      </c>
      <c r="G23" s="1"/>
      <c r="H23" s="2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2">
      <c r="A24" s="2"/>
      <c r="B24" s="2"/>
      <c r="C24" s="2"/>
      <c r="D24" s="63"/>
      <c r="E24" s="25">
        <v>204</v>
      </c>
      <c r="F24" s="25">
        <v>-1.3420000000000001</v>
      </c>
      <c r="G24" s="1"/>
      <c r="H24" s="2"/>
      <c r="I24" s="14"/>
      <c r="J24" s="14"/>
      <c r="K24" s="14"/>
      <c r="L24" s="14"/>
      <c r="M24" s="14"/>
      <c r="N24" s="14"/>
      <c r="O24" s="14"/>
      <c r="P24" s="14"/>
      <c r="Q24" s="14"/>
    </row>
    <row r="25" spans="1:17" x14ac:dyDescent="0.2">
      <c r="A25" s="2"/>
      <c r="B25" s="2"/>
      <c r="C25" s="2"/>
      <c r="D25" s="63"/>
      <c r="E25" s="25" t="s">
        <v>327</v>
      </c>
      <c r="F25" s="25" t="s">
        <v>328</v>
      </c>
      <c r="G25" s="1"/>
      <c r="H25" s="2"/>
      <c r="I25" s="14"/>
      <c r="J25" s="14"/>
      <c r="K25" s="14"/>
      <c r="L25" s="14"/>
      <c r="M25" s="14"/>
      <c r="N25" s="14"/>
      <c r="O25" s="14"/>
      <c r="P25" s="14"/>
      <c r="Q25" s="14"/>
    </row>
    <row r="26" spans="1:17" x14ac:dyDescent="0.2">
      <c r="A26" s="2"/>
      <c r="B26" s="2"/>
      <c r="C26" s="2"/>
      <c r="D26" s="63"/>
      <c r="E26" s="65">
        <v>293</v>
      </c>
      <c r="F26" s="65">
        <v>-1.4279999999999999</v>
      </c>
      <c r="G26" s="1"/>
      <c r="H26" s="2"/>
      <c r="I26" s="14"/>
      <c r="J26" s="14"/>
      <c r="K26" s="14"/>
      <c r="L26" s="14"/>
      <c r="M26" s="14"/>
      <c r="N26" s="14"/>
      <c r="O26" s="14"/>
      <c r="P26" s="14"/>
      <c r="Q26" s="14"/>
    </row>
    <row r="27" spans="1:17" x14ac:dyDescent="0.2">
      <c r="A27" s="2"/>
      <c r="B27" s="2"/>
      <c r="C27" s="2"/>
      <c r="D27" s="63"/>
      <c r="E27" s="25" t="s">
        <v>122</v>
      </c>
      <c r="F27" s="16"/>
      <c r="G27" s="1"/>
      <c r="H27" s="2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2">
      <c r="A28" s="2"/>
      <c r="B28" s="2"/>
      <c r="C28" s="2"/>
      <c r="D28" s="63"/>
      <c r="E28" s="26" t="s">
        <v>169</v>
      </c>
      <c r="F28" s="16"/>
      <c r="G28" s="1"/>
      <c r="H28" s="2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2">
      <c r="A29" s="2"/>
      <c r="B29" s="2"/>
      <c r="C29" s="2"/>
      <c r="D29" s="63"/>
      <c r="E29" s="31"/>
      <c r="F29" s="31"/>
      <c r="G29" s="31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2">
      <c r="A30" s="2"/>
      <c r="B30" s="2"/>
      <c r="C30" s="2"/>
      <c r="D30" s="63"/>
      <c r="E30" s="25" t="s">
        <v>331</v>
      </c>
      <c r="F30" s="25" t="s">
        <v>332</v>
      </c>
      <c r="G30" s="31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2">
      <c r="A31" s="2"/>
      <c r="B31" s="2"/>
      <c r="C31" s="2"/>
      <c r="D31" s="63"/>
      <c r="E31" s="25">
        <v>204</v>
      </c>
      <c r="F31" s="25">
        <v>-1.3420000000000001</v>
      </c>
      <c r="G31" s="31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x14ac:dyDescent="0.2">
      <c r="A32" s="2"/>
      <c r="B32" s="2"/>
      <c r="C32" s="2"/>
      <c r="D32" s="63"/>
      <c r="E32" s="25" t="s">
        <v>327</v>
      </c>
      <c r="F32" s="25" t="s">
        <v>328</v>
      </c>
      <c r="G32" s="31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2">
      <c r="A33" s="2"/>
      <c r="B33" s="2"/>
      <c r="C33" s="2"/>
      <c r="D33" s="63"/>
      <c r="E33" s="26" t="s">
        <v>39</v>
      </c>
      <c r="F33" s="26" t="s">
        <v>343</v>
      </c>
      <c r="G33" s="31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x14ac:dyDescent="0.2">
      <c r="A34" s="2"/>
      <c r="B34" s="2"/>
      <c r="C34" s="2"/>
      <c r="D34" s="14"/>
      <c r="E34" s="25" t="s">
        <v>122</v>
      </c>
      <c r="F34" s="16"/>
      <c r="G34" s="31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2">
      <c r="A35" s="2"/>
      <c r="B35" s="2"/>
      <c r="C35" s="2"/>
      <c r="D35" s="14"/>
      <c r="E35" s="26" t="s">
        <v>169</v>
      </c>
      <c r="F35" s="16"/>
      <c r="G35" s="31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2">
      <c r="A36" s="2"/>
      <c r="B36" s="2"/>
      <c r="C36" s="2"/>
      <c r="D36" s="14"/>
      <c r="E36" s="31"/>
      <c r="F36" s="31"/>
      <c r="G36" s="31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2">
      <c r="A37" s="2"/>
      <c r="B37" s="2"/>
      <c r="C37" s="2"/>
      <c r="D37" s="14"/>
      <c r="E37" s="15" t="s">
        <v>331</v>
      </c>
      <c r="F37" s="15" t="s">
        <v>332</v>
      </c>
      <c r="G37" s="254" t="s">
        <v>610</v>
      </c>
      <c r="H37" s="255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2">
      <c r="A38" s="2"/>
      <c r="B38" s="2"/>
      <c r="C38" s="2"/>
      <c r="D38" s="14"/>
      <c r="E38" s="15" t="s">
        <v>185</v>
      </c>
      <c r="F38" s="15">
        <v>-1.3420000000000001</v>
      </c>
      <c r="G38" s="31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x14ac:dyDescent="0.2">
      <c r="A39" s="2"/>
      <c r="B39" s="2"/>
      <c r="C39" s="2"/>
      <c r="D39" s="14"/>
      <c r="E39" s="66">
        <v>293</v>
      </c>
      <c r="F39" s="66">
        <v>-1.4279999999999999</v>
      </c>
      <c r="G39" s="31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x14ac:dyDescent="0.2">
      <c r="A40" s="2"/>
      <c r="B40" s="2"/>
      <c r="C40" s="2"/>
      <c r="D40" s="14"/>
      <c r="E40" s="12" t="s">
        <v>39</v>
      </c>
      <c r="F40" s="12" t="s">
        <v>343</v>
      </c>
      <c r="G40" s="31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x14ac:dyDescent="0.2">
      <c r="A41" s="14"/>
      <c r="B41" s="14"/>
      <c r="C41" s="14"/>
      <c r="D41" s="14"/>
      <c r="E41" s="15" t="s">
        <v>122</v>
      </c>
      <c r="F41" s="16"/>
      <c r="G41" s="31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x14ac:dyDescent="0.2">
      <c r="A42" s="14"/>
      <c r="B42" s="14"/>
      <c r="C42" s="14"/>
      <c r="D42" s="14"/>
      <c r="E42" s="12" t="s">
        <v>169</v>
      </c>
      <c r="F42" s="16"/>
      <c r="G42" s="31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x14ac:dyDescent="0.2">
      <c r="A43" s="14"/>
      <c r="B43" s="14"/>
      <c r="C43" s="14"/>
      <c r="D43" s="14"/>
      <c r="E43" s="31"/>
      <c r="F43" s="31"/>
      <c r="G43" s="31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x14ac:dyDescent="0.2">
      <c r="A44" s="14"/>
      <c r="B44" s="14"/>
      <c r="C44" s="14"/>
      <c r="D44" s="14"/>
      <c r="E44" s="31"/>
      <c r="F44" s="31"/>
      <c r="G44" s="31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1:17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1:17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</sheetData>
  <mergeCells count="17">
    <mergeCell ref="G37:H37"/>
    <mergeCell ref="E18:E20"/>
    <mergeCell ref="I6:K6"/>
    <mergeCell ref="I7:K7"/>
    <mergeCell ref="I9:I11"/>
    <mergeCell ref="I12:I14"/>
    <mergeCell ref="I15:I17"/>
    <mergeCell ref="I18:I20"/>
    <mergeCell ref="E6:G6"/>
    <mergeCell ref="E7:G7"/>
    <mergeCell ref="A15:A17"/>
    <mergeCell ref="E9:E11"/>
    <mergeCell ref="E12:E14"/>
    <mergeCell ref="A6:C6"/>
    <mergeCell ref="A9:A11"/>
    <mergeCell ref="A12:A14"/>
    <mergeCell ref="E15:E17"/>
  </mergeCells>
  <phoneticPr fontId="0" type="noConversion"/>
  <pageMargins left="0.75" right="0.75" top="1" bottom="1" header="0.5" footer="0.5"/>
  <pageSetup paperSize="9" orientation="portrait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workbookViewId="0">
      <selection activeCell="B5" sqref="B5:K5"/>
    </sheetView>
  </sheetViews>
  <sheetFormatPr defaultRowHeight="12.75" x14ac:dyDescent="0.2"/>
  <cols>
    <col min="6" max="6" width="10.7109375" customWidth="1"/>
    <col min="10" max="10" width="10.85546875" customWidth="1"/>
    <col min="14" max="14" width="10.7109375" customWidth="1"/>
  </cols>
  <sheetData>
    <row r="1" spans="1:20" x14ac:dyDescent="0.2">
      <c r="A1" s="9"/>
      <c r="B1" s="48">
        <v>5.0708000000000002</v>
      </c>
      <c r="C1" s="15" t="s">
        <v>354</v>
      </c>
      <c r="D1" s="48">
        <v>12.93</v>
      </c>
      <c r="E1" s="12" t="s">
        <v>355</v>
      </c>
      <c r="F1" s="12" t="s">
        <v>356</v>
      </c>
      <c r="G1" s="12" t="s">
        <v>357</v>
      </c>
      <c r="H1" s="12" t="s">
        <v>358</v>
      </c>
      <c r="I1" s="12" t="s">
        <v>359</v>
      </c>
      <c r="J1" s="58">
        <v>54.396900000000002</v>
      </c>
      <c r="K1" s="12" t="s">
        <v>360</v>
      </c>
    </row>
    <row r="2" spans="1:20" x14ac:dyDescent="0.2">
      <c r="A2" s="19" t="s">
        <v>0</v>
      </c>
      <c r="B2" s="34">
        <f>40/B1</f>
        <v>7.8883016486550446</v>
      </c>
      <c r="C2" s="34">
        <f t="shared" ref="C2:K2" si="0">40/C1</f>
        <v>5.7501006267609682</v>
      </c>
      <c r="D2" s="34">
        <f t="shared" si="0"/>
        <v>3.0935808197989174</v>
      </c>
      <c r="E2" s="34">
        <f t="shared" si="0"/>
        <v>2.1233451178987375</v>
      </c>
      <c r="F2" s="34">
        <f t="shared" si="0"/>
        <v>1.5540679671625437</v>
      </c>
      <c r="G2" s="34">
        <f t="shared" si="0"/>
        <v>1.3370905578007535</v>
      </c>
      <c r="H2" s="34">
        <f t="shared" si="0"/>
        <v>1</v>
      </c>
      <c r="I2" s="34">
        <f t="shared" si="0"/>
        <v>0.89552973942323411</v>
      </c>
      <c r="J2" s="34">
        <f t="shared" si="0"/>
        <v>0.73533602098648998</v>
      </c>
      <c r="K2" s="34">
        <f t="shared" si="0"/>
        <v>0.65185542498529248</v>
      </c>
    </row>
    <row r="3" spans="1:20" x14ac:dyDescent="0.2">
      <c r="A3" s="19" t="s">
        <v>1</v>
      </c>
      <c r="B3" s="34"/>
      <c r="C3" s="49">
        <f t="shared" ref="C3:K3" si="1">B2/C2</f>
        <v>1.3718545397175987</v>
      </c>
      <c r="D3" s="49">
        <f t="shared" si="1"/>
        <v>1.8587200276004829</v>
      </c>
      <c r="E3" s="49">
        <f t="shared" si="1"/>
        <v>1.4569373549883993</v>
      </c>
      <c r="F3" s="49">
        <f t="shared" si="1"/>
        <v>1.3663141913770955</v>
      </c>
      <c r="G3" s="49">
        <f t="shared" si="1"/>
        <v>1.1622757771311127</v>
      </c>
      <c r="H3" s="49">
        <f t="shared" si="1"/>
        <v>1.3370905578007535</v>
      </c>
      <c r="I3" s="49">
        <f t="shared" si="1"/>
        <v>1.1166574999999999</v>
      </c>
      <c r="J3" s="49">
        <f t="shared" si="1"/>
        <v>1.2178510420607931</v>
      </c>
      <c r="K3" s="49">
        <f t="shared" si="1"/>
        <v>1.1280661214150072</v>
      </c>
      <c r="M3" s="89" t="s">
        <v>540</v>
      </c>
      <c r="N3" s="89">
        <f>B2/K2</f>
        <v>12.101305513922853</v>
      </c>
    </row>
    <row r="4" spans="1:20" x14ac:dyDescent="0.2">
      <c r="A4" s="9"/>
      <c r="B4" s="50">
        <f>100/B2</f>
        <v>12.677</v>
      </c>
      <c r="C4" s="8">
        <f t="shared" ref="C4:K4" si="2">100/C2</f>
        <v>17.391000000000002</v>
      </c>
      <c r="D4" s="50">
        <f t="shared" si="2"/>
        <v>32.324999999999996</v>
      </c>
      <c r="E4" s="7">
        <f t="shared" si="2"/>
        <v>47.095500000000001</v>
      </c>
      <c r="F4" s="7">
        <f t="shared" si="2"/>
        <v>64.347250000000003</v>
      </c>
      <c r="G4" s="7">
        <f t="shared" si="2"/>
        <v>74.789249999999996</v>
      </c>
      <c r="H4" s="7">
        <f t="shared" si="2"/>
        <v>100</v>
      </c>
      <c r="I4" s="7">
        <f t="shared" si="2"/>
        <v>111.66575</v>
      </c>
      <c r="J4" s="7">
        <f t="shared" si="2"/>
        <v>135.99225000000001</v>
      </c>
      <c r="K4" s="7">
        <f t="shared" si="2"/>
        <v>153.40825000000001</v>
      </c>
    </row>
    <row r="5" spans="1:20" x14ac:dyDescent="0.2">
      <c r="B5">
        <f>1/B2</f>
        <v>0.12676999999999999</v>
      </c>
      <c r="C5">
        <f t="shared" ref="C5:K5" si="3">1/C2</f>
        <v>0.17391000000000001</v>
      </c>
      <c r="D5">
        <f t="shared" si="3"/>
        <v>0.32324999999999998</v>
      </c>
      <c r="E5">
        <f t="shared" si="3"/>
        <v>0.47095500000000007</v>
      </c>
      <c r="F5">
        <f t="shared" si="3"/>
        <v>0.64347250000000011</v>
      </c>
      <c r="G5">
        <f t="shared" si="3"/>
        <v>0.74789249999999996</v>
      </c>
      <c r="H5">
        <f t="shared" si="3"/>
        <v>1</v>
      </c>
      <c r="I5">
        <f t="shared" si="3"/>
        <v>1.1166574999999999</v>
      </c>
      <c r="J5">
        <f t="shared" si="3"/>
        <v>1.3599225000000001</v>
      </c>
      <c r="K5">
        <f t="shared" si="3"/>
        <v>1.5340825</v>
      </c>
    </row>
    <row r="6" spans="1:20" x14ac:dyDescent="0.2">
      <c r="A6" s="256" t="s">
        <v>60</v>
      </c>
      <c r="B6" s="256"/>
      <c r="C6" s="256"/>
      <c r="D6" s="61"/>
      <c r="F6" s="189" t="s">
        <v>97</v>
      </c>
      <c r="G6" s="189"/>
      <c r="H6" s="189"/>
    </row>
    <row r="7" spans="1:20" x14ac:dyDescent="0.2">
      <c r="A7" s="2"/>
      <c r="B7" s="2"/>
      <c r="C7" s="2"/>
      <c r="D7" s="61"/>
      <c r="F7" s="185" t="s">
        <v>361</v>
      </c>
      <c r="G7" s="185"/>
      <c r="H7" s="185"/>
      <c r="J7" s="185" t="s">
        <v>205</v>
      </c>
      <c r="K7" s="185"/>
      <c r="L7" s="185"/>
      <c r="N7" s="185" t="s">
        <v>384</v>
      </c>
      <c r="O7" s="185"/>
      <c r="P7" s="185"/>
      <c r="R7" s="185" t="s">
        <v>611</v>
      </c>
      <c r="S7" s="185"/>
      <c r="T7" s="185"/>
    </row>
    <row r="8" spans="1:20" x14ac:dyDescent="0.2">
      <c r="A8" s="7" t="s">
        <v>2</v>
      </c>
      <c r="B8" s="8" t="s">
        <v>3</v>
      </c>
      <c r="C8" s="20" t="s">
        <v>0</v>
      </c>
      <c r="D8" s="61"/>
      <c r="F8" s="7" t="s">
        <v>2</v>
      </c>
      <c r="G8" s="7" t="s">
        <v>3</v>
      </c>
      <c r="H8" s="21" t="s">
        <v>0</v>
      </c>
      <c r="J8" s="7" t="s">
        <v>2</v>
      </c>
      <c r="K8" s="7" t="s">
        <v>3</v>
      </c>
      <c r="L8" s="21" t="s">
        <v>0</v>
      </c>
      <c r="N8" s="7" t="s">
        <v>2</v>
      </c>
      <c r="O8" s="7" t="s">
        <v>3</v>
      </c>
      <c r="P8" s="21" t="s">
        <v>0</v>
      </c>
      <c r="R8" s="7" t="s">
        <v>2</v>
      </c>
      <c r="S8" s="7" t="s">
        <v>3</v>
      </c>
      <c r="T8" s="21" t="s">
        <v>0</v>
      </c>
    </row>
    <row r="9" spans="1:20" x14ac:dyDescent="0.2">
      <c r="A9" s="187" t="s">
        <v>10</v>
      </c>
      <c r="B9" s="18" t="s">
        <v>10</v>
      </c>
      <c r="C9" s="18" t="s">
        <v>365</v>
      </c>
      <c r="D9" s="61"/>
      <c r="F9" s="187" t="s">
        <v>280</v>
      </c>
      <c r="G9" s="18" t="s">
        <v>374</v>
      </c>
      <c r="H9" s="18" t="s">
        <v>375</v>
      </c>
      <c r="J9" s="187" t="s">
        <v>367</v>
      </c>
      <c r="K9" s="18" t="s">
        <v>367</v>
      </c>
      <c r="L9" s="18" t="s">
        <v>368</v>
      </c>
      <c r="N9" s="187" t="s">
        <v>117</v>
      </c>
      <c r="O9" s="29" t="s">
        <v>128</v>
      </c>
      <c r="P9" s="29" t="s">
        <v>362</v>
      </c>
      <c r="R9" s="187" t="s">
        <v>10</v>
      </c>
      <c r="S9" s="18" t="s">
        <v>10</v>
      </c>
      <c r="T9" s="18" t="s">
        <v>365</v>
      </c>
    </row>
    <row r="10" spans="1:20" x14ac:dyDescent="0.2">
      <c r="A10" s="187"/>
      <c r="B10" s="5" t="s">
        <v>180</v>
      </c>
      <c r="C10" s="5" t="s">
        <v>344</v>
      </c>
      <c r="D10" s="61"/>
      <c r="F10" s="187"/>
      <c r="G10" s="5" t="s">
        <v>293</v>
      </c>
      <c r="H10" s="5" t="s">
        <v>376</v>
      </c>
      <c r="J10" s="187"/>
      <c r="K10" s="5" t="s">
        <v>369</v>
      </c>
      <c r="L10" s="5" t="s">
        <v>370</v>
      </c>
      <c r="N10" s="187"/>
      <c r="O10" s="4" t="s">
        <v>130</v>
      </c>
      <c r="P10" s="4" t="s">
        <v>363</v>
      </c>
      <c r="R10" s="187"/>
      <c r="S10" s="5" t="s">
        <v>180</v>
      </c>
      <c r="T10" s="5" t="s">
        <v>344</v>
      </c>
    </row>
    <row r="11" spans="1:20" x14ac:dyDescent="0.2">
      <c r="A11" s="187"/>
      <c r="B11" s="5" t="s">
        <v>13</v>
      </c>
      <c r="C11" s="5" t="s">
        <v>366</v>
      </c>
      <c r="D11" s="61"/>
      <c r="F11" s="187"/>
      <c r="G11" s="5" t="s">
        <v>280</v>
      </c>
      <c r="H11" s="5" t="s">
        <v>377</v>
      </c>
      <c r="J11" s="187"/>
      <c r="K11" s="5" t="s">
        <v>371</v>
      </c>
      <c r="L11" s="5" t="s">
        <v>372</v>
      </c>
      <c r="N11" s="187"/>
      <c r="O11" s="4" t="s">
        <v>132</v>
      </c>
      <c r="P11" s="4" t="s">
        <v>364</v>
      </c>
      <c r="R11" s="187"/>
      <c r="S11" s="5" t="s">
        <v>13</v>
      </c>
      <c r="T11" s="5" t="s">
        <v>366</v>
      </c>
    </row>
    <row r="12" spans="1:20" x14ac:dyDescent="0.2">
      <c r="A12" s="187" t="s">
        <v>117</v>
      </c>
      <c r="B12" s="29" t="s">
        <v>128</v>
      </c>
      <c r="C12" s="29" t="s">
        <v>362</v>
      </c>
      <c r="D12" s="61"/>
      <c r="F12" s="60" t="s">
        <v>41</v>
      </c>
      <c r="G12" s="67" t="s">
        <v>273</v>
      </c>
      <c r="J12" s="187">
        <v>349</v>
      </c>
      <c r="K12" s="26">
        <v>943</v>
      </c>
      <c r="L12" s="26">
        <v>-1.113</v>
      </c>
      <c r="N12" s="232" t="s">
        <v>385</v>
      </c>
      <c r="O12" s="26" t="s">
        <v>386</v>
      </c>
      <c r="P12" s="26" t="s">
        <v>387</v>
      </c>
      <c r="R12" s="187" t="s">
        <v>109</v>
      </c>
      <c r="S12" s="29" t="s">
        <v>286</v>
      </c>
      <c r="T12" s="29" t="s">
        <v>612</v>
      </c>
    </row>
    <row r="13" spans="1:20" x14ac:dyDescent="0.2">
      <c r="A13" s="187"/>
      <c r="B13" s="4" t="s">
        <v>130</v>
      </c>
      <c r="C13" s="4" t="s">
        <v>363</v>
      </c>
      <c r="D13" s="61"/>
      <c r="J13" s="187"/>
      <c r="K13" s="4">
        <v>934</v>
      </c>
      <c r="L13" s="4" t="s">
        <v>378</v>
      </c>
      <c r="N13" s="232"/>
      <c r="O13" s="26" t="s">
        <v>388</v>
      </c>
      <c r="P13" s="26" t="s">
        <v>390</v>
      </c>
      <c r="R13" s="187"/>
      <c r="S13" s="4"/>
      <c r="T13" s="4"/>
    </row>
    <row r="14" spans="1:20" x14ac:dyDescent="0.2">
      <c r="A14" s="187"/>
      <c r="B14" s="4" t="s">
        <v>132</v>
      </c>
      <c r="C14" s="4" t="s">
        <v>364</v>
      </c>
      <c r="D14" s="61"/>
      <c r="F14" s="25" t="s">
        <v>10</v>
      </c>
      <c r="G14" s="25" t="s">
        <v>365</v>
      </c>
      <c r="J14" s="187"/>
      <c r="K14" s="4">
        <v>394</v>
      </c>
      <c r="L14" s="4" t="s">
        <v>379</v>
      </c>
      <c r="N14" s="232"/>
      <c r="O14" s="26" t="s">
        <v>389</v>
      </c>
      <c r="P14" s="26" t="s">
        <v>391</v>
      </c>
      <c r="R14" s="187"/>
      <c r="S14" s="4"/>
      <c r="T14" s="4"/>
    </row>
    <row r="15" spans="1:20" x14ac:dyDescent="0.2">
      <c r="A15" s="187" t="s">
        <v>367</v>
      </c>
      <c r="B15" s="18" t="s">
        <v>367</v>
      </c>
      <c r="C15" s="18" t="s">
        <v>368</v>
      </c>
      <c r="D15" s="61"/>
      <c r="F15" s="26" t="s">
        <v>128</v>
      </c>
      <c r="G15" s="26" t="s">
        <v>362</v>
      </c>
      <c r="H15" s="31"/>
      <c r="J15" s="187" t="s">
        <v>35</v>
      </c>
      <c r="K15" s="29" t="s">
        <v>39</v>
      </c>
      <c r="L15" s="29">
        <v>-1.8049999999999999</v>
      </c>
      <c r="N15" s="187" t="s">
        <v>70</v>
      </c>
      <c r="O15" s="26" t="s">
        <v>244</v>
      </c>
      <c r="P15" s="26" t="s">
        <v>392</v>
      </c>
      <c r="R15" s="187" t="s">
        <v>279</v>
      </c>
      <c r="S15" s="26" t="s">
        <v>279</v>
      </c>
      <c r="T15" s="26" t="s">
        <v>613</v>
      </c>
    </row>
    <row r="16" spans="1:20" x14ac:dyDescent="0.2">
      <c r="A16" s="187"/>
      <c r="B16" s="5" t="s">
        <v>369</v>
      </c>
      <c r="C16" s="5" t="s">
        <v>370</v>
      </c>
      <c r="D16" s="61"/>
      <c r="F16" s="25" t="s">
        <v>367</v>
      </c>
      <c r="G16" s="25" t="s">
        <v>368</v>
      </c>
      <c r="H16" s="31"/>
      <c r="J16" s="187"/>
      <c r="K16" s="4" t="s">
        <v>88</v>
      </c>
      <c r="L16" s="4" t="s">
        <v>380</v>
      </c>
      <c r="N16" s="187"/>
      <c r="O16" s="4" t="s">
        <v>78</v>
      </c>
      <c r="P16" s="4" t="s">
        <v>393</v>
      </c>
      <c r="R16" s="187"/>
      <c r="S16" s="4"/>
      <c r="T16" s="4"/>
    </row>
    <row r="17" spans="1:20" x14ac:dyDescent="0.2">
      <c r="A17" s="187"/>
      <c r="B17" s="5" t="s">
        <v>371</v>
      </c>
      <c r="C17" s="5" t="s">
        <v>372</v>
      </c>
      <c r="D17" s="61"/>
      <c r="F17" s="25" t="s">
        <v>374</v>
      </c>
      <c r="G17" s="25" t="s">
        <v>375</v>
      </c>
      <c r="H17" s="31"/>
      <c r="J17" s="187"/>
      <c r="K17" s="4" t="s">
        <v>35</v>
      </c>
      <c r="L17" s="4" t="s">
        <v>381</v>
      </c>
      <c r="N17" s="187"/>
      <c r="O17" s="4" t="s">
        <v>76</v>
      </c>
      <c r="P17" s="4" t="s">
        <v>394</v>
      </c>
      <c r="R17" s="187"/>
      <c r="S17" s="4"/>
      <c r="T17" s="4"/>
    </row>
    <row r="18" spans="1:20" x14ac:dyDescent="0.2">
      <c r="A18" s="5" t="s">
        <v>41</v>
      </c>
      <c r="B18" s="5" t="s">
        <v>373</v>
      </c>
      <c r="C18" s="2"/>
      <c r="D18" s="61"/>
      <c r="F18" s="92" t="s">
        <v>41</v>
      </c>
      <c r="G18" s="57" t="s">
        <v>273</v>
      </c>
      <c r="H18" s="31"/>
      <c r="J18" s="187" t="s">
        <v>72</v>
      </c>
      <c r="K18" s="29" t="s">
        <v>382</v>
      </c>
      <c r="L18" s="29" t="s">
        <v>375</v>
      </c>
      <c r="N18" s="187" t="s">
        <v>57</v>
      </c>
      <c r="O18" s="26" t="s">
        <v>57</v>
      </c>
      <c r="P18" s="26" t="s">
        <v>395</v>
      </c>
      <c r="R18" s="187" t="s">
        <v>281</v>
      </c>
      <c r="S18" s="29" t="s">
        <v>298</v>
      </c>
      <c r="T18" s="29" t="s">
        <v>614</v>
      </c>
    </row>
    <row r="19" spans="1:20" x14ac:dyDescent="0.2">
      <c r="B19" s="51"/>
      <c r="C19" s="51"/>
      <c r="D19" s="61"/>
      <c r="F19" s="93" t="s">
        <v>41</v>
      </c>
      <c r="G19" s="25" t="s">
        <v>373</v>
      </c>
      <c r="H19" s="31"/>
      <c r="J19" s="187"/>
      <c r="K19" s="4" t="s">
        <v>72</v>
      </c>
      <c r="L19" s="4" t="s">
        <v>383</v>
      </c>
      <c r="N19" s="187"/>
      <c r="O19" s="26" t="s">
        <v>58</v>
      </c>
      <c r="P19" s="26" t="s">
        <v>396</v>
      </c>
      <c r="R19" s="187"/>
      <c r="S19" s="4"/>
      <c r="T19" s="4"/>
    </row>
    <row r="20" spans="1:20" x14ac:dyDescent="0.2">
      <c r="B20" s="51"/>
      <c r="C20" s="51"/>
      <c r="D20" s="61"/>
      <c r="F20" s="31"/>
      <c r="G20" s="31"/>
      <c r="H20" s="31"/>
      <c r="J20" s="187"/>
      <c r="K20" s="4" t="s">
        <v>82</v>
      </c>
      <c r="L20" s="4" t="s">
        <v>377</v>
      </c>
      <c r="N20" s="187"/>
      <c r="O20" s="26" t="s">
        <v>59</v>
      </c>
      <c r="P20" s="26" t="s">
        <v>397</v>
      </c>
      <c r="R20" s="187"/>
      <c r="S20" s="4"/>
      <c r="T20" s="4"/>
    </row>
    <row r="21" spans="1:20" x14ac:dyDescent="0.2">
      <c r="B21" s="51"/>
      <c r="C21" s="51"/>
      <c r="D21" s="61"/>
      <c r="F21" s="31"/>
      <c r="G21" s="31"/>
      <c r="H21" s="31"/>
      <c r="J21" s="68" t="s">
        <v>41</v>
      </c>
      <c r="K21" s="5" t="s">
        <v>273</v>
      </c>
      <c r="L21" s="1"/>
      <c r="N21" s="68" t="s">
        <v>41</v>
      </c>
      <c r="O21" s="5" t="s">
        <v>249</v>
      </c>
      <c r="P21" s="1"/>
      <c r="R21" s="68" t="s">
        <v>41</v>
      </c>
      <c r="S21" s="5" t="s">
        <v>249</v>
      </c>
      <c r="T21" s="4"/>
    </row>
    <row r="22" spans="1:20" x14ac:dyDescent="0.2">
      <c r="B22" s="51"/>
      <c r="C22" s="51"/>
      <c r="D22" s="61"/>
      <c r="F22" s="31"/>
      <c r="G22" s="31"/>
      <c r="H22" s="31"/>
      <c r="J22" s="31"/>
      <c r="K22" s="1"/>
      <c r="L22" s="1"/>
      <c r="O22" s="14"/>
      <c r="P22" s="14"/>
    </row>
    <row r="23" spans="1:20" x14ac:dyDescent="0.2">
      <c r="B23" s="51"/>
      <c r="C23" s="51"/>
      <c r="D23" s="61"/>
      <c r="F23" s="31"/>
      <c r="G23" s="31"/>
      <c r="H23" s="31"/>
      <c r="J23" s="25" t="s">
        <v>10</v>
      </c>
      <c r="K23" s="25" t="s">
        <v>365</v>
      </c>
      <c r="L23" s="31"/>
      <c r="O23" s="14"/>
      <c r="P23" s="14"/>
      <c r="R23" s="26" t="s">
        <v>128</v>
      </c>
      <c r="S23" s="26" t="s">
        <v>362</v>
      </c>
    </row>
    <row r="24" spans="1:20" x14ac:dyDescent="0.2">
      <c r="B24" s="51"/>
      <c r="C24" s="51"/>
      <c r="D24" s="61"/>
      <c r="F24" s="31"/>
      <c r="G24" s="31"/>
      <c r="H24" s="31"/>
      <c r="J24" s="26" t="s">
        <v>128</v>
      </c>
      <c r="K24" s="26" t="s">
        <v>362</v>
      </c>
      <c r="L24" s="31"/>
      <c r="O24" s="14"/>
      <c r="P24" s="14"/>
      <c r="R24" s="25" t="s">
        <v>367</v>
      </c>
      <c r="S24" s="25" t="s">
        <v>368</v>
      </c>
    </row>
    <row r="25" spans="1:20" x14ac:dyDescent="0.2">
      <c r="B25" s="51"/>
      <c r="C25" s="51"/>
      <c r="D25" s="61"/>
      <c r="F25" s="31"/>
      <c r="G25" s="31"/>
      <c r="H25" s="31"/>
      <c r="J25" s="25" t="s">
        <v>367</v>
      </c>
      <c r="K25" s="25" t="s">
        <v>368</v>
      </c>
      <c r="L25" s="31"/>
      <c r="O25" s="14"/>
      <c r="P25" s="14"/>
      <c r="R25" s="25" t="s">
        <v>10</v>
      </c>
      <c r="S25" s="25" t="s">
        <v>365</v>
      </c>
    </row>
    <row r="26" spans="1:20" x14ac:dyDescent="0.2">
      <c r="B26" s="51"/>
      <c r="C26" s="51"/>
      <c r="D26" s="61"/>
      <c r="F26" s="31"/>
      <c r="G26" s="31"/>
      <c r="H26" s="31"/>
      <c r="J26" s="26" t="s">
        <v>39</v>
      </c>
      <c r="K26" s="26">
        <v>-1.8049999999999999</v>
      </c>
      <c r="L26" s="31"/>
      <c r="O26" s="14"/>
      <c r="P26" s="14"/>
      <c r="R26" s="26" t="s">
        <v>286</v>
      </c>
      <c r="S26" s="26" t="s">
        <v>612</v>
      </c>
    </row>
    <row r="27" spans="1:20" x14ac:dyDescent="0.2">
      <c r="B27" s="51"/>
      <c r="C27" s="51"/>
      <c r="D27" s="61"/>
      <c r="F27" s="31"/>
      <c r="G27" s="31"/>
      <c r="H27" s="31"/>
      <c r="J27" s="92" t="s">
        <v>41</v>
      </c>
      <c r="K27" s="25" t="s">
        <v>373</v>
      </c>
      <c r="L27" s="31"/>
      <c r="O27" s="14"/>
      <c r="P27" s="14"/>
      <c r="R27" s="92" t="s">
        <v>41</v>
      </c>
      <c r="S27" s="25" t="s">
        <v>373</v>
      </c>
    </row>
    <row r="28" spans="1:20" x14ac:dyDescent="0.2">
      <c r="B28" s="51"/>
      <c r="C28" s="51"/>
      <c r="D28" s="61"/>
      <c r="F28" s="31"/>
      <c r="G28" s="31"/>
      <c r="H28" s="31"/>
      <c r="J28" s="93" t="s">
        <v>41</v>
      </c>
      <c r="K28" s="25" t="s">
        <v>273</v>
      </c>
      <c r="L28" s="31"/>
      <c r="O28" s="14"/>
      <c r="P28" s="14"/>
      <c r="R28" s="93" t="s">
        <v>41</v>
      </c>
      <c r="S28" s="25" t="s">
        <v>249</v>
      </c>
    </row>
    <row r="29" spans="1:20" x14ac:dyDescent="0.2">
      <c r="B29" s="51"/>
      <c r="C29" s="51"/>
      <c r="D29" s="61"/>
      <c r="F29" s="31"/>
      <c r="G29" s="31"/>
      <c r="H29" s="31"/>
      <c r="J29" s="31"/>
      <c r="K29" s="31"/>
      <c r="L29" s="31"/>
      <c r="O29" s="14"/>
      <c r="P29" s="14"/>
    </row>
    <row r="30" spans="1:20" x14ac:dyDescent="0.2">
      <c r="D30" s="61"/>
      <c r="F30" s="31"/>
      <c r="G30" s="31"/>
      <c r="H30" s="31"/>
      <c r="J30" s="25" t="s">
        <v>10</v>
      </c>
      <c r="K30" s="25" t="s">
        <v>365</v>
      </c>
      <c r="L30" s="31"/>
      <c r="O30" s="14"/>
      <c r="P30" s="14"/>
      <c r="R30" s="26" t="s">
        <v>128</v>
      </c>
      <c r="S30" s="26" t="s">
        <v>362</v>
      </c>
    </row>
    <row r="31" spans="1:20" x14ac:dyDescent="0.2">
      <c r="D31" s="61"/>
      <c r="F31" s="31"/>
      <c r="G31" s="31"/>
      <c r="H31" s="31"/>
      <c r="J31" s="26" t="s">
        <v>128</v>
      </c>
      <c r="K31" s="26" t="s">
        <v>362</v>
      </c>
      <c r="L31" s="31"/>
      <c r="O31" s="14"/>
      <c r="P31" s="14"/>
      <c r="R31" s="25" t="s">
        <v>367</v>
      </c>
      <c r="S31" s="25" t="s">
        <v>368</v>
      </c>
    </row>
    <row r="32" spans="1:20" x14ac:dyDescent="0.2">
      <c r="D32" s="61"/>
      <c r="F32" s="31"/>
      <c r="G32" s="31"/>
      <c r="H32" s="31"/>
      <c r="J32" s="25" t="s">
        <v>367</v>
      </c>
      <c r="K32" s="25" t="s">
        <v>368</v>
      </c>
      <c r="L32" s="31"/>
      <c r="O32" s="14"/>
      <c r="P32" s="14"/>
      <c r="R32" s="25" t="s">
        <v>10</v>
      </c>
      <c r="S32" s="25" t="s">
        <v>365</v>
      </c>
    </row>
    <row r="33" spans="4:19" x14ac:dyDescent="0.2">
      <c r="D33" s="61"/>
      <c r="F33" s="31"/>
      <c r="G33" s="31"/>
      <c r="H33" s="31"/>
      <c r="J33" s="26" t="s">
        <v>382</v>
      </c>
      <c r="K33" s="26" t="s">
        <v>375</v>
      </c>
      <c r="L33" s="31"/>
      <c r="O33" s="14"/>
      <c r="P33" s="14"/>
      <c r="R33" s="26" t="s">
        <v>298</v>
      </c>
      <c r="S33" s="26" t="s">
        <v>614</v>
      </c>
    </row>
    <row r="34" spans="4:19" x14ac:dyDescent="0.2">
      <c r="D34" s="61"/>
      <c r="F34" s="31"/>
      <c r="G34" s="31"/>
      <c r="H34" s="31"/>
      <c r="J34" s="92" t="s">
        <v>41</v>
      </c>
      <c r="K34" s="25" t="s">
        <v>373</v>
      </c>
      <c r="L34" s="31"/>
      <c r="O34" s="14"/>
      <c r="P34" s="14"/>
      <c r="R34" s="92" t="s">
        <v>41</v>
      </c>
      <c r="S34" s="25" t="s">
        <v>373</v>
      </c>
    </row>
    <row r="35" spans="4:19" x14ac:dyDescent="0.2">
      <c r="F35" s="31"/>
      <c r="G35" s="31"/>
      <c r="H35" s="31"/>
      <c r="J35" s="93" t="s">
        <v>41</v>
      </c>
      <c r="K35" s="25" t="s">
        <v>273</v>
      </c>
      <c r="L35" s="31"/>
      <c r="O35" s="14"/>
      <c r="P35" s="14"/>
      <c r="R35" s="93" t="s">
        <v>41</v>
      </c>
      <c r="S35" s="25" t="s">
        <v>249</v>
      </c>
    </row>
    <row r="36" spans="4:19" x14ac:dyDescent="0.2">
      <c r="F36" s="31"/>
      <c r="G36" s="31"/>
      <c r="H36" s="31"/>
      <c r="J36" s="31"/>
      <c r="K36" s="31"/>
      <c r="L36" s="31"/>
      <c r="O36" s="14"/>
      <c r="P36" s="14"/>
    </row>
    <row r="37" spans="4:19" x14ac:dyDescent="0.2">
      <c r="F37" s="31"/>
      <c r="G37" s="31"/>
      <c r="H37" s="31"/>
      <c r="J37" s="25" t="s">
        <v>10</v>
      </c>
      <c r="K37" s="25" t="s">
        <v>365</v>
      </c>
      <c r="L37" s="31"/>
      <c r="O37" s="14"/>
      <c r="P37" s="14"/>
      <c r="R37" s="26" t="s">
        <v>128</v>
      </c>
      <c r="S37" s="26" t="s">
        <v>362</v>
      </c>
    </row>
    <row r="38" spans="4:19" x14ac:dyDescent="0.2">
      <c r="F38" s="31"/>
      <c r="G38" s="31"/>
      <c r="H38" s="31"/>
      <c r="J38" s="26" t="s">
        <v>128</v>
      </c>
      <c r="K38" s="26" t="s">
        <v>362</v>
      </c>
      <c r="L38" s="31"/>
      <c r="O38" s="14"/>
      <c r="P38" s="14"/>
      <c r="R38" s="25" t="s">
        <v>367</v>
      </c>
      <c r="S38" s="25" t="s">
        <v>368</v>
      </c>
    </row>
    <row r="39" spans="4:19" x14ac:dyDescent="0.2">
      <c r="F39" s="31"/>
      <c r="G39" s="31"/>
      <c r="H39" s="31"/>
      <c r="J39" s="26" t="s">
        <v>39</v>
      </c>
      <c r="K39" s="26">
        <v>-1.8049999999999999</v>
      </c>
      <c r="L39" s="31"/>
      <c r="O39" s="14"/>
      <c r="P39" s="14"/>
      <c r="R39" s="26" t="s">
        <v>286</v>
      </c>
      <c r="S39" s="26" t="s">
        <v>612</v>
      </c>
    </row>
    <row r="40" spans="4:19" x14ac:dyDescent="0.2">
      <c r="F40" s="31"/>
      <c r="G40" s="31"/>
      <c r="H40" s="31"/>
      <c r="J40" s="26" t="s">
        <v>382</v>
      </c>
      <c r="K40" s="26" t="s">
        <v>375</v>
      </c>
      <c r="L40" s="31"/>
      <c r="O40" s="14"/>
      <c r="P40" s="14"/>
      <c r="R40" s="26" t="s">
        <v>298</v>
      </c>
      <c r="S40" s="26" t="s">
        <v>614</v>
      </c>
    </row>
    <row r="41" spans="4:19" x14ac:dyDescent="0.2">
      <c r="F41" s="31"/>
      <c r="G41" s="31"/>
      <c r="H41" s="31"/>
      <c r="J41" s="92" t="s">
        <v>41</v>
      </c>
      <c r="K41" s="25" t="s">
        <v>373</v>
      </c>
      <c r="L41" s="31"/>
      <c r="O41" s="14"/>
      <c r="P41" s="14"/>
      <c r="R41" s="92" t="s">
        <v>41</v>
      </c>
      <c r="S41" s="25" t="s">
        <v>373</v>
      </c>
    </row>
    <row r="42" spans="4:19" x14ac:dyDescent="0.2">
      <c r="F42" s="31"/>
      <c r="G42" s="31"/>
      <c r="H42" s="31"/>
      <c r="J42" s="93" t="s">
        <v>41</v>
      </c>
      <c r="K42" s="25" t="s">
        <v>273</v>
      </c>
      <c r="L42" s="31"/>
      <c r="O42" s="14"/>
      <c r="P42" s="14"/>
      <c r="R42" s="93" t="s">
        <v>41</v>
      </c>
      <c r="S42" s="25" t="s">
        <v>249</v>
      </c>
    </row>
    <row r="43" spans="4:19" x14ac:dyDescent="0.2">
      <c r="F43" s="31"/>
      <c r="G43" s="31"/>
      <c r="H43" s="31"/>
      <c r="J43" s="31"/>
      <c r="K43" s="31"/>
      <c r="L43" s="31"/>
      <c r="O43" s="14"/>
      <c r="P43" s="14"/>
    </row>
    <row r="44" spans="4:19" x14ac:dyDescent="0.2">
      <c r="F44" s="31"/>
      <c r="G44" s="31"/>
      <c r="H44" s="31"/>
      <c r="J44" s="31"/>
      <c r="K44" s="31"/>
      <c r="L44" s="31"/>
      <c r="O44" s="14"/>
      <c r="P44" s="14"/>
    </row>
    <row r="45" spans="4:19" x14ac:dyDescent="0.2">
      <c r="F45" s="31"/>
      <c r="G45" s="31"/>
      <c r="H45" s="31"/>
      <c r="J45" s="31"/>
      <c r="K45" s="31"/>
      <c r="L45" s="31"/>
      <c r="O45" s="14"/>
      <c r="P45" s="14"/>
    </row>
    <row r="46" spans="4:19" x14ac:dyDescent="0.2">
      <c r="F46" s="31"/>
      <c r="G46" s="31"/>
      <c r="H46" s="31"/>
      <c r="J46" s="31"/>
      <c r="K46" s="31"/>
      <c r="L46" s="31"/>
      <c r="O46" s="14"/>
      <c r="P46" s="14"/>
    </row>
    <row r="47" spans="4:19" x14ac:dyDescent="0.2">
      <c r="F47" s="31"/>
      <c r="G47" s="31"/>
      <c r="H47" s="31"/>
      <c r="J47" s="3"/>
      <c r="K47" s="3"/>
      <c r="L47" s="3"/>
    </row>
    <row r="48" spans="4:19" x14ac:dyDescent="0.2">
      <c r="F48" s="31"/>
      <c r="G48" s="31"/>
      <c r="H48" s="31"/>
    </row>
    <row r="49" spans="6:8" x14ac:dyDescent="0.2">
      <c r="F49" s="31"/>
      <c r="G49" s="31"/>
      <c r="H49" s="31"/>
    </row>
    <row r="50" spans="6:8" x14ac:dyDescent="0.2">
      <c r="F50" s="31"/>
      <c r="G50" s="31"/>
      <c r="H50" s="31"/>
    </row>
    <row r="51" spans="6:8" x14ac:dyDescent="0.2">
      <c r="F51" s="31"/>
      <c r="G51" s="31"/>
      <c r="H51" s="31"/>
    </row>
    <row r="52" spans="6:8" x14ac:dyDescent="0.2">
      <c r="F52" s="31"/>
      <c r="G52" s="31"/>
      <c r="H52" s="31"/>
    </row>
    <row r="53" spans="6:8" x14ac:dyDescent="0.2">
      <c r="F53" s="31"/>
      <c r="G53" s="31"/>
      <c r="H53" s="31"/>
    </row>
    <row r="54" spans="6:8" x14ac:dyDescent="0.2">
      <c r="F54" s="31"/>
      <c r="G54" s="31"/>
      <c r="H54" s="31"/>
    </row>
    <row r="55" spans="6:8" x14ac:dyDescent="0.2">
      <c r="F55" s="31"/>
      <c r="G55" s="31"/>
      <c r="H55" s="31"/>
    </row>
    <row r="56" spans="6:8" x14ac:dyDescent="0.2">
      <c r="F56" s="31"/>
      <c r="G56" s="31"/>
      <c r="H56" s="31"/>
    </row>
    <row r="57" spans="6:8" x14ac:dyDescent="0.2">
      <c r="F57" s="31"/>
      <c r="G57" s="31"/>
      <c r="H57" s="31"/>
    </row>
    <row r="58" spans="6:8" x14ac:dyDescent="0.2">
      <c r="F58" s="31"/>
      <c r="G58" s="31"/>
      <c r="H58" s="31"/>
    </row>
    <row r="59" spans="6:8" x14ac:dyDescent="0.2">
      <c r="F59" s="31"/>
      <c r="G59" s="31"/>
      <c r="H59" s="31"/>
    </row>
    <row r="60" spans="6:8" x14ac:dyDescent="0.2">
      <c r="F60" s="31"/>
      <c r="G60" s="31"/>
      <c r="H60" s="31"/>
    </row>
    <row r="61" spans="6:8" x14ac:dyDescent="0.2">
      <c r="F61" s="31"/>
      <c r="G61" s="31"/>
      <c r="H61" s="31"/>
    </row>
  </sheetData>
  <mergeCells count="22">
    <mergeCell ref="A15:A17"/>
    <mergeCell ref="J7:L7"/>
    <mergeCell ref="J9:J11"/>
    <mergeCell ref="J12:J14"/>
    <mergeCell ref="J15:J17"/>
    <mergeCell ref="R18:R20"/>
    <mergeCell ref="R7:T7"/>
    <mergeCell ref="R9:R11"/>
    <mergeCell ref="R12:R14"/>
    <mergeCell ref="R15:R17"/>
    <mergeCell ref="F6:H6"/>
    <mergeCell ref="F7:H7"/>
    <mergeCell ref="A9:A11"/>
    <mergeCell ref="A12:A14"/>
    <mergeCell ref="F9:F11"/>
    <mergeCell ref="A6:C6"/>
    <mergeCell ref="J18:J20"/>
    <mergeCell ref="N7:P7"/>
    <mergeCell ref="N9:N11"/>
    <mergeCell ref="N12:N14"/>
    <mergeCell ref="N15:N17"/>
    <mergeCell ref="N18:N20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8"/>
  <sheetViews>
    <sheetView workbookViewId="0">
      <selection activeCell="B6" sqref="B6:K6"/>
    </sheetView>
  </sheetViews>
  <sheetFormatPr defaultRowHeight="12.75" x14ac:dyDescent="0.2"/>
  <sheetData>
    <row r="2" spans="1:20" x14ac:dyDescent="0.2">
      <c r="A2" s="9"/>
      <c r="B2" s="48">
        <v>5.0708000000000002</v>
      </c>
      <c r="C2" s="15" t="s">
        <v>354</v>
      </c>
      <c r="D2" s="48">
        <v>12.93</v>
      </c>
      <c r="E2" s="12" t="s">
        <v>355</v>
      </c>
      <c r="F2" s="12" t="s">
        <v>356</v>
      </c>
      <c r="G2" s="12" t="s">
        <v>357</v>
      </c>
      <c r="H2" s="12" t="s">
        <v>358</v>
      </c>
      <c r="I2" s="12" t="s">
        <v>359</v>
      </c>
      <c r="J2" s="58">
        <v>54.396900000000002</v>
      </c>
      <c r="K2" s="12" t="s">
        <v>360</v>
      </c>
    </row>
    <row r="3" spans="1:20" x14ac:dyDescent="0.2">
      <c r="A3" s="19" t="s">
        <v>0</v>
      </c>
      <c r="B3" s="34">
        <f>44.6663/B2</f>
        <v>8.8085311982330197</v>
      </c>
      <c r="C3" s="34">
        <f t="shared" ref="C3:K3" si="0">44.6663/C2</f>
        <v>6.420892990627336</v>
      </c>
      <c r="D3" s="34">
        <f t="shared" si="0"/>
        <v>3.4544702242846097</v>
      </c>
      <c r="E3" s="34">
        <f t="shared" si="0"/>
        <v>2.3710492509900094</v>
      </c>
      <c r="F3" s="34">
        <f t="shared" si="0"/>
        <v>1.7353616510418082</v>
      </c>
      <c r="G3" s="34">
        <f t="shared" si="0"/>
        <v>1.4930721995473948</v>
      </c>
      <c r="H3" s="34">
        <f t="shared" si="0"/>
        <v>1.1166575000000001</v>
      </c>
      <c r="I3" s="34">
        <f t="shared" si="0"/>
        <v>1</v>
      </c>
      <c r="J3" s="34">
        <f t="shared" si="0"/>
        <v>0.82111848285472144</v>
      </c>
      <c r="K3" s="34">
        <f t="shared" si="0"/>
        <v>0.72789924922551419</v>
      </c>
    </row>
    <row r="4" spans="1:20" x14ac:dyDescent="0.2">
      <c r="A4" s="19" t="s">
        <v>1</v>
      </c>
      <c r="B4" s="34"/>
      <c r="C4" s="49">
        <f t="shared" ref="C4:K4" si="1">B3/C3</f>
        <v>1.3718545397175987</v>
      </c>
      <c r="D4" s="49">
        <f t="shared" si="1"/>
        <v>1.8587200276004829</v>
      </c>
      <c r="E4" s="49">
        <f t="shared" si="1"/>
        <v>1.4569373549883993</v>
      </c>
      <c r="F4" s="49">
        <f t="shared" si="1"/>
        <v>1.3663141913770955</v>
      </c>
      <c r="G4" s="49">
        <f t="shared" si="1"/>
        <v>1.1622757771311127</v>
      </c>
      <c r="H4" s="49">
        <f t="shared" si="1"/>
        <v>1.3370905578007533</v>
      </c>
      <c r="I4" s="49">
        <f t="shared" si="1"/>
        <v>1.1166575000000001</v>
      </c>
      <c r="J4" s="49">
        <f t="shared" si="1"/>
        <v>1.2178510420607931</v>
      </c>
      <c r="K4" s="49">
        <f t="shared" si="1"/>
        <v>1.1280661214150072</v>
      </c>
      <c r="M4" s="89" t="s">
        <v>540</v>
      </c>
      <c r="N4" s="89">
        <f>B3/K3</f>
        <v>12.101305513922853</v>
      </c>
    </row>
    <row r="5" spans="1:20" x14ac:dyDescent="0.2">
      <c r="A5" s="9"/>
      <c r="B5" s="50">
        <f>100/B3</f>
        <v>11.352630506668339</v>
      </c>
      <c r="C5" s="8">
        <f t="shared" ref="C5:K5" si="2">100/C3</f>
        <v>15.574157698309463</v>
      </c>
      <c r="D5" s="50">
        <f t="shared" si="2"/>
        <v>28.94799882685604</v>
      </c>
      <c r="E5" s="7">
        <f t="shared" si="2"/>
        <v>42.175420843006926</v>
      </c>
      <c r="F5" s="7">
        <f t="shared" si="2"/>
        <v>57.624876025101706</v>
      </c>
      <c r="G5" s="7">
        <f t="shared" si="2"/>
        <v>66.975997564159115</v>
      </c>
      <c r="H5" s="7">
        <f t="shared" si="2"/>
        <v>89.552973942323405</v>
      </c>
      <c r="I5" s="7">
        <f t="shared" si="2"/>
        <v>100</v>
      </c>
      <c r="J5" s="7">
        <f t="shared" si="2"/>
        <v>121.78510420607931</v>
      </c>
      <c r="K5" s="7">
        <f t="shared" si="2"/>
        <v>137.38165014787435</v>
      </c>
    </row>
    <row r="6" spans="1:20" x14ac:dyDescent="0.2">
      <c r="B6">
        <f>1/B3</f>
        <v>0.11352630506668339</v>
      </c>
      <c r="C6">
        <f t="shared" ref="C6:K6" si="3">1/C3</f>
        <v>0.15574157698309463</v>
      </c>
      <c r="D6">
        <f t="shared" si="3"/>
        <v>0.28947998826856042</v>
      </c>
      <c r="E6">
        <f t="shared" si="3"/>
        <v>0.42175420843006922</v>
      </c>
      <c r="F6">
        <f t="shared" si="3"/>
        <v>0.57624876025101701</v>
      </c>
      <c r="G6">
        <f t="shared" si="3"/>
        <v>0.66975997564159107</v>
      </c>
      <c r="H6">
        <f t="shared" si="3"/>
        <v>0.89552973942323399</v>
      </c>
      <c r="I6">
        <f t="shared" si="3"/>
        <v>1</v>
      </c>
      <c r="J6">
        <f t="shared" si="3"/>
        <v>1.2178510420607931</v>
      </c>
      <c r="K6">
        <f t="shared" si="3"/>
        <v>1.3738165014787436</v>
      </c>
    </row>
    <row r="8" spans="1:20" x14ac:dyDescent="0.2">
      <c r="A8" s="256" t="s">
        <v>60</v>
      </c>
      <c r="B8" s="256"/>
      <c r="C8" s="256"/>
      <c r="D8" s="61"/>
      <c r="F8" s="189" t="s">
        <v>97</v>
      </c>
      <c r="G8" s="189"/>
      <c r="H8" s="189"/>
      <c r="J8" s="189" t="s">
        <v>98</v>
      </c>
      <c r="K8" s="189"/>
      <c r="L8" s="189"/>
      <c r="N8" s="189" t="s">
        <v>99</v>
      </c>
      <c r="O8" s="189"/>
      <c r="P8" s="189"/>
      <c r="R8" s="189" t="s">
        <v>100</v>
      </c>
      <c r="S8" s="189"/>
      <c r="T8" s="189"/>
    </row>
    <row r="9" spans="1:20" x14ac:dyDescent="0.2">
      <c r="A9" s="2"/>
      <c r="B9" s="2"/>
      <c r="C9" s="2"/>
      <c r="D9" s="61"/>
      <c r="F9" s="185" t="s">
        <v>617</v>
      </c>
      <c r="G9" s="185"/>
      <c r="H9" s="185"/>
      <c r="J9" s="185" t="s">
        <v>544</v>
      </c>
      <c r="K9" s="185"/>
      <c r="L9" s="185"/>
      <c r="N9" s="185" t="s">
        <v>545</v>
      </c>
      <c r="O9" s="185"/>
      <c r="P9" s="185"/>
      <c r="R9" s="185" t="s">
        <v>624</v>
      </c>
      <c r="S9" s="185"/>
      <c r="T9" s="185"/>
    </row>
    <row r="10" spans="1:20" x14ac:dyDescent="0.2">
      <c r="A10" s="7" t="s">
        <v>2</v>
      </c>
      <c r="B10" s="8" t="s">
        <v>3</v>
      </c>
      <c r="C10" s="20" t="s">
        <v>0</v>
      </c>
      <c r="D10" s="61"/>
      <c r="F10" s="7" t="s">
        <v>2</v>
      </c>
      <c r="G10" s="7" t="s">
        <v>3</v>
      </c>
      <c r="H10" s="21" t="s">
        <v>0</v>
      </c>
      <c r="J10" s="7" t="s">
        <v>2</v>
      </c>
      <c r="K10" s="7" t="s">
        <v>3</v>
      </c>
      <c r="L10" s="21" t="s">
        <v>0</v>
      </c>
      <c r="N10" s="7" t="s">
        <v>2</v>
      </c>
      <c r="O10" s="7" t="s">
        <v>3</v>
      </c>
      <c r="P10" s="21" t="s">
        <v>0</v>
      </c>
      <c r="R10" s="7" t="s">
        <v>2</v>
      </c>
      <c r="S10" s="7" t="s">
        <v>3</v>
      </c>
      <c r="T10" s="21" t="s">
        <v>0</v>
      </c>
    </row>
    <row r="11" spans="1:20" x14ac:dyDescent="0.2">
      <c r="A11" s="187" t="s">
        <v>10</v>
      </c>
      <c r="B11" s="18" t="s">
        <v>10</v>
      </c>
      <c r="C11" s="18" t="s">
        <v>615</v>
      </c>
      <c r="D11" s="61"/>
      <c r="F11" s="187" t="s">
        <v>280</v>
      </c>
      <c r="G11" s="18" t="s">
        <v>374</v>
      </c>
      <c r="H11" s="18" t="s">
        <v>530</v>
      </c>
      <c r="J11" s="187" t="s">
        <v>70</v>
      </c>
      <c r="K11" s="25" t="s">
        <v>70</v>
      </c>
      <c r="L11" s="25" t="s">
        <v>619</v>
      </c>
      <c r="N11" s="187" t="s">
        <v>110</v>
      </c>
      <c r="O11" s="18" t="s">
        <v>547</v>
      </c>
      <c r="P11" s="18" t="s">
        <v>621</v>
      </c>
      <c r="R11" s="187" t="s">
        <v>44</v>
      </c>
      <c r="S11" s="18" t="s">
        <v>49</v>
      </c>
      <c r="T11" s="18" t="s">
        <v>435</v>
      </c>
    </row>
    <row r="12" spans="1:20" x14ac:dyDescent="0.2">
      <c r="A12" s="187"/>
      <c r="B12" s="5"/>
      <c r="C12" s="5"/>
      <c r="D12" s="61"/>
      <c r="F12" s="187"/>
      <c r="G12" s="5"/>
      <c r="H12" s="5"/>
      <c r="J12" s="187"/>
      <c r="K12" s="5"/>
      <c r="L12" s="5"/>
      <c r="N12" s="187"/>
      <c r="O12" s="5"/>
      <c r="P12" s="5"/>
      <c r="R12" s="187"/>
      <c r="S12" s="5"/>
      <c r="T12" s="5"/>
    </row>
    <row r="13" spans="1:20" x14ac:dyDescent="0.2">
      <c r="A13" s="187"/>
      <c r="B13" s="5"/>
      <c r="C13" s="5"/>
      <c r="D13" s="61"/>
      <c r="F13" s="187"/>
      <c r="G13" s="5"/>
      <c r="H13" s="5"/>
      <c r="J13" s="187"/>
      <c r="K13" s="5"/>
      <c r="L13" s="5"/>
      <c r="N13" s="187"/>
      <c r="O13" s="5"/>
      <c r="P13" s="5"/>
      <c r="R13" s="187"/>
      <c r="S13" s="5"/>
      <c r="T13" s="5"/>
    </row>
    <row r="14" spans="1:20" x14ac:dyDescent="0.2">
      <c r="A14" s="187" t="s">
        <v>367</v>
      </c>
      <c r="B14" s="29" t="s">
        <v>367</v>
      </c>
      <c r="C14" s="29" t="s">
        <v>616</v>
      </c>
      <c r="D14" s="61"/>
      <c r="F14" s="187" t="s">
        <v>57</v>
      </c>
      <c r="G14" s="25" t="s">
        <v>59</v>
      </c>
      <c r="H14" s="25" t="s">
        <v>618</v>
      </c>
      <c r="J14" s="187" t="s">
        <v>44</v>
      </c>
      <c r="K14" s="25" t="s">
        <v>49</v>
      </c>
      <c r="L14" s="25" t="s">
        <v>620</v>
      </c>
    </row>
    <row r="15" spans="1:20" x14ac:dyDescent="0.2">
      <c r="A15" s="187"/>
      <c r="B15" s="4"/>
      <c r="C15" s="4"/>
      <c r="D15" s="61"/>
      <c r="F15" s="187"/>
      <c r="G15" s="5"/>
      <c r="H15" s="5"/>
      <c r="J15" s="187"/>
      <c r="K15" s="5"/>
      <c r="L15" s="5"/>
      <c r="N15" s="187" t="s">
        <v>54</v>
      </c>
      <c r="O15" s="18" t="s">
        <v>54</v>
      </c>
      <c r="P15" s="18" t="s">
        <v>514</v>
      </c>
      <c r="R15" s="187" t="s">
        <v>10</v>
      </c>
      <c r="S15" s="18" t="s">
        <v>10</v>
      </c>
      <c r="T15" s="18" t="s">
        <v>615</v>
      </c>
    </row>
    <row r="16" spans="1:20" x14ac:dyDescent="0.2">
      <c r="A16" s="187"/>
      <c r="B16" s="4"/>
      <c r="C16" s="4"/>
      <c r="D16" s="61"/>
      <c r="F16" s="187"/>
      <c r="G16" s="5"/>
      <c r="H16" s="5"/>
      <c r="J16" s="187"/>
      <c r="K16" s="5"/>
      <c r="L16" s="5"/>
      <c r="N16" s="187"/>
      <c r="O16" s="5"/>
      <c r="P16" s="5"/>
      <c r="R16" s="187"/>
      <c r="S16" s="5"/>
      <c r="T16" s="5"/>
    </row>
    <row r="17" spans="1:20" x14ac:dyDescent="0.2">
      <c r="A17" s="5" t="s">
        <v>41</v>
      </c>
      <c r="B17" s="5" t="s">
        <v>373</v>
      </c>
      <c r="C17" s="2"/>
      <c r="D17" s="61"/>
      <c r="F17" s="31"/>
      <c r="G17" s="31"/>
      <c r="H17" s="31"/>
      <c r="N17" s="187"/>
      <c r="O17" s="5"/>
      <c r="P17" s="5"/>
      <c r="R17" s="187"/>
      <c r="S17" s="5"/>
      <c r="T17" s="5"/>
    </row>
    <row r="18" spans="1:20" x14ac:dyDescent="0.2">
      <c r="A18" s="5" t="s">
        <v>41</v>
      </c>
      <c r="B18" s="5" t="s">
        <v>496</v>
      </c>
      <c r="C18" s="51"/>
      <c r="D18" s="61"/>
      <c r="F18" s="31"/>
      <c r="G18" s="31"/>
      <c r="H18" s="31"/>
      <c r="N18" s="187" t="s">
        <v>367</v>
      </c>
      <c r="O18" s="29" t="s">
        <v>367</v>
      </c>
      <c r="P18" s="29" t="s">
        <v>616</v>
      </c>
      <c r="R18" s="187" t="s">
        <v>109</v>
      </c>
      <c r="S18" s="29" t="s">
        <v>286</v>
      </c>
      <c r="T18" s="29" t="s">
        <v>625</v>
      </c>
    </row>
    <row r="19" spans="1:20" x14ac:dyDescent="0.2">
      <c r="B19" s="51"/>
      <c r="C19" s="51"/>
      <c r="D19" s="61"/>
      <c r="F19" s="31"/>
      <c r="G19" s="31"/>
      <c r="H19" s="31"/>
      <c r="N19" s="187"/>
      <c r="O19" s="5"/>
      <c r="P19" s="5"/>
      <c r="R19" s="187"/>
      <c r="S19" s="5"/>
      <c r="T19" s="5"/>
    </row>
    <row r="20" spans="1:20" x14ac:dyDescent="0.2">
      <c r="B20" s="51"/>
      <c r="C20" s="51"/>
      <c r="D20" s="61"/>
      <c r="F20" s="31"/>
      <c r="G20" s="31"/>
      <c r="H20" s="31"/>
      <c r="N20" s="187"/>
      <c r="O20" s="5"/>
      <c r="P20" s="5"/>
      <c r="R20" s="187"/>
      <c r="S20" s="5"/>
      <c r="T20" s="5"/>
    </row>
    <row r="21" spans="1:20" x14ac:dyDescent="0.2">
      <c r="B21" s="51"/>
      <c r="C21" s="51"/>
      <c r="D21" s="61"/>
      <c r="F21" s="31"/>
      <c r="G21" s="31"/>
      <c r="H21" s="31"/>
      <c r="N21" s="187" t="s">
        <v>35</v>
      </c>
      <c r="O21" s="18" t="s">
        <v>39</v>
      </c>
      <c r="P21" s="18" t="s">
        <v>622</v>
      </c>
      <c r="R21" s="187" t="s">
        <v>279</v>
      </c>
      <c r="S21" s="18" t="s">
        <v>291</v>
      </c>
      <c r="T21" s="18" t="s">
        <v>6</v>
      </c>
    </row>
    <row r="22" spans="1:20" x14ac:dyDescent="0.2">
      <c r="B22" s="51"/>
      <c r="C22" s="51"/>
      <c r="D22" s="61"/>
      <c r="F22" s="31"/>
      <c r="G22" s="31"/>
      <c r="H22" s="31"/>
      <c r="N22" s="187"/>
      <c r="O22" s="5"/>
      <c r="P22" s="5"/>
      <c r="R22" s="187"/>
      <c r="S22" s="5"/>
      <c r="T22" s="5"/>
    </row>
    <row r="23" spans="1:20" x14ac:dyDescent="0.2">
      <c r="B23" s="51"/>
      <c r="C23" s="51"/>
      <c r="D23" s="61"/>
      <c r="F23" s="31"/>
      <c r="G23" s="31"/>
      <c r="H23" s="31"/>
      <c r="N23" s="187"/>
      <c r="O23" s="5"/>
      <c r="P23" s="5"/>
      <c r="R23" s="187"/>
      <c r="S23" s="5"/>
      <c r="T23" s="5"/>
    </row>
    <row r="24" spans="1:20" x14ac:dyDescent="0.2">
      <c r="B24" s="51"/>
      <c r="C24" s="51"/>
      <c r="D24" s="61"/>
      <c r="F24" s="31"/>
      <c r="G24" s="31"/>
      <c r="H24" s="31"/>
      <c r="N24" s="187" t="s">
        <v>72</v>
      </c>
      <c r="O24" s="18" t="s">
        <v>382</v>
      </c>
      <c r="P24" s="18" t="s">
        <v>623</v>
      </c>
      <c r="R24" s="187" t="s">
        <v>281</v>
      </c>
      <c r="S24" s="18" t="s">
        <v>298</v>
      </c>
      <c r="T24" s="18" t="s">
        <v>626</v>
      </c>
    </row>
    <row r="25" spans="1:20" x14ac:dyDescent="0.2">
      <c r="B25" s="51"/>
      <c r="C25" s="51"/>
      <c r="D25" s="61"/>
      <c r="F25" s="31"/>
      <c r="G25" s="31"/>
      <c r="H25" s="31"/>
      <c r="N25" s="187"/>
      <c r="O25" s="5"/>
      <c r="P25" s="5"/>
      <c r="R25" s="187"/>
      <c r="S25" s="5"/>
      <c r="T25" s="5"/>
    </row>
    <row r="26" spans="1:20" x14ac:dyDescent="0.2">
      <c r="B26" s="51"/>
      <c r="C26" s="51"/>
      <c r="D26" s="61"/>
      <c r="F26" s="31"/>
      <c r="G26" s="31"/>
      <c r="H26" s="31"/>
      <c r="N26" s="187"/>
      <c r="O26" s="5"/>
      <c r="P26" s="5"/>
      <c r="R26" s="187"/>
      <c r="S26" s="5"/>
      <c r="T26" s="5"/>
    </row>
    <row r="27" spans="1:20" x14ac:dyDescent="0.2">
      <c r="B27" s="51"/>
      <c r="C27" s="51"/>
      <c r="D27" s="61"/>
      <c r="F27" s="31"/>
      <c r="G27" s="31"/>
      <c r="H27" s="31"/>
    </row>
    <row r="28" spans="1:20" x14ac:dyDescent="0.2">
      <c r="B28" s="51"/>
      <c r="C28" s="51"/>
      <c r="D28" s="61"/>
      <c r="F28" s="31"/>
      <c r="G28" s="31"/>
      <c r="H28" s="31"/>
      <c r="N28" s="25" t="s">
        <v>10</v>
      </c>
      <c r="O28" s="25" t="s">
        <v>615</v>
      </c>
      <c r="R28" s="26" t="s">
        <v>367</v>
      </c>
      <c r="S28" s="25" t="s">
        <v>615</v>
      </c>
    </row>
    <row r="29" spans="1:20" x14ac:dyDescent="0.2">
      <c r="D29" s="61"/>
      <c r="F29" s="31"/>
      <c r="G29" s="31"/>
      <c r="H29" s="31"/>
      <c r="N29" s="25" t="s">
        <v>547</v>
      </c>
      <c r="O29" s="25" t="s">
        <v>621</v>
      </c>
      <c r="R29" s="25" t="s">
        <v>49</v>
      </c>
      <c r="S29" s="25" t="s">
        <v>435</v>
      </c>
    </row>
    <row r="30" spans="1:20" x14ac:dyDescent="0.2">
      <c r="D30" s="61"/>
      <c r="H30" s="31"/>
      <c r="N30" s="25" t="s">
        <v>54</v>
      </c>
      <c r="O30" s="25" t="s">
        <v>514</v>
      </c>
      <c r="R30" s="25" t="s">
        <v>10</v>
      </c>
      <c r="S30" s="25" t="s">
        <v>615</v>
      </c>
    </row>
    <row r="31" spans="1:20" x14ac:dyDescent="0.2">
      <c r="D31" s="61"/>
      <c r="H31" s="31"/>
      <c r="N31" s="26" t="s">
        <v>367</v>
      </c>
      <c r="O31" s="26" t="s">
        <v>616</v>
      </c>
      <c r="R31" s="26" t="s">
        <v>286</v>
      </c>
      <c r="S31" s="26" t="s">
        <v>625</v>
      </c>
    </row>
    <row r="32" spans="1:20" x14ac:dyDescent="0.2">
      <c r="D32" s="61"/>
      <c r="H32" s="31"/>
      <c r="N32" s="25" t="s">
        <v>41</v>
      </c>
      <c r="O32" s="25" t="s">
        <v>373</v>
      </c>
      <c r="R32" s="25" t="s">
        <v>41</v>
      </c>
      <c r="S32" s="25" t="s">
        <v>373</v>
      </c>
    </row>
    <row r="33" spans="4:19" x14ac:dyDescent="0.2">
      <c r="D33" s="61"/>
      <c r="H33" s="31"/>
      <c r="N33" s="25" t="s">
        <v>41</v>
      </c>
      <c r="O33" s="25" t="s">
        <v>496</v>
      </c>
      <c r="R33" s="25" t="s">
        <v>41</v>
      </c>
      <c r="S33" s="25" t="s">
        <v>496</v>
      </c>
    </row>
    <row r="34" spans="4:19" x14ac:dyDescent="0.2">
      <c r="D34" s="61"/>
      <c r="H34" s="31"/>
    </row>
    <row r="35" spans="4:19" x14ac:dyDescent="0.2">
      <c r="D35" s="61"/>
      <c r="H35" s="31"/>
      <c r="N35" s="25" t="s">
        <v>10</v>
      </c>
      <c r="O35" s="25" t="s">
        <v>615</v>
      </c>
      <c r="R35" s="26" t="s">
        <v>367</v>
      </c>
      <c r="S35" s="25" t="s">
        <v>615</v>
      </c>
    </row>
    <row r="36" spans="4:19" x14ac:dyDescent="0.2">
      <c r="D36" s="61"/>
      <c r="H36" s="31"/>
      <c r="N36" s="25" t="s">
        <v>547</v>
      </c>
      <c r="O36" s="25" t="s">
        <v>621</v>
      </c>
      <c r="R36" s="25" t="s">
        <v>49</v>
      </c>
      <c r="S36" s="25" t="s">
        <v>435</v>
      </c>
    </row>
    <row r="37" spans="4:19" x14ac:dyDescent="0.2">
      <c r="N37" s="25" t="s">
        <v>54</v>
      </c>
      <c r="O37" s="25" t="s">
        <v>514</v>
      </c>
      <c r="R37" s="25" t="s">
        <v>10</v>
      </c>
      <c r="S37" s="25" t="s">
        <v>615</v>
      </c>
    </row>
    <row r="38" spans="4:19" x14ac:dyDescent="0.2">
      <c r="N38" s="25" t="s">
        <v>39</v>
      </c>
      <c r="O38" s="25" t="s">
        <v>622</v>
      </c>
      <c r="R38" s="25" t="s">
        <v>291</v>
      </c>
      <c r="S38" s="25" t="s">
        <v>6</v>
      </c>
    </row>
    <row r="39" spans="4:19" x14ac:dyDescent="0.2">
      <c r="N39" s="25" t="s">
        <v>41</v>
      </c>
      <c r="O39" s="25" t="s">
        <v>373</v>
      </c>
      <c r="R39" s="25" t="s">
        <v>41</v>
      </c>
      <c r="S39" s="25" t="s">
        <v>373</v>
      </c>
    </row>
    <row r="40" spans="4:19" x14ac:dyDescent="0.2">
      <c r="N40" s="25" t="s">
        <v>41</v>
      </c>
      <c r="O40" s="25" t="s">
        <v>496</v>
      </c>
      <c r="R40" s="25" t="s">
        <v>41</v>
      </c>
      <c r="S40" s="25" t="s">
        <v>496</v>
      </c>
    </row>
    <row r="42" spans="4:19" x14ac:dyDescent="0.2">
      <c r="N42" s="25" t="s">
        <v>10</v>
      </c>
      <c r="O42" s="25" t="s">
        <v>615</v>
      </c>
      <c r="R42" s="26" t="s">
        <v>367</v>
      </c>
      <c r="S42" s="25" t="s">
        <v>615</v>
      </c>
    </row>
    <row r="43" spans="4:19" x14ac:dyDescent="0.2">
      <c r="N43" s="25" t="s">
        <v>547</v>
      </c>
      <c r="O43" s="25" t="s">
        <v>621</v>
      </c>
      <c r="R43" s="25" t="s">
        <v>49</v>
      </c>
      <c r="S43" s="25" t="s">
        <v>435</v>
      </c>
    </row>
    <row r="44" spans="4:19" x14ac:dyDescent="0.2">
      <c r="N44" s="25" t="s">
        <v>54</v>
      </c>
      <c r="O44" s="25" t="s">
        <v>514</v>
      </c>
      <c r="R44" s="25" t="s">
        <v>10</v>
      </c>
      <c r="S44" s="25" t="s">
        <v>615</v>
      </c>
    </row>
    <row r="45" spans="4:19" x14ac:dyDescent="0.2">
      <c r="N45" s="25" t="s">
        <v>382</v>
      </c>
      <c r="O45" s="25" t="s">
        <v>623</v>
      </c>
      <c r="R45" s="25" t="s">
        <v>298</v>
      </c>
      <c r="S45" s="25" t="s">
        <v>626</v>
      </c>
    </row>
    <row r="46" spans="4:19" x14ac:dyDescent="0.2">
      <c r="N46" s="25" t="s">
        <v>41</v>
      </c>
      <c r="O46" s="25" t="s">
        <v>373</v>
      </c>
      <c r="R46" s="25" t="s">
        <v>41</v>
      </c>
      <c r="S46" s="25" t="s">
        <v>373</v>
      </c>
    </row>
    <row r="47" spans="4:19" x14ac:dyDescent="0.2">
      <c r="N47" s="25" t="s">
        <v>41</v>
      </c>
      <c r="O47" s="25" t="s">
        <v>496</v>
      </c>
      <c r="R47" s="25" t="s">
        <v>41</v>
      </c>
      <c r="S47" s="25" t="s">
        <v>496</v>
      </c>
    </row>
    <row r="49" spans="14:21" x14ac:dyDescent="0.2">
      <c r="N49" s="25" t="s">
        <v>10</v>
      </c>
      <c r="O49" s="25" t="s">
        <v>615</v>
      </c>
      <c r="R49" s="26" t="s">
        <v>367</v>
      </c>
      <c r="S49" s="25" t="s">
        <v>615</v>
      </c>
    </row>
    <row r="50" spans="14:21" x14ac:dyDescent="0.2">
      <c r="N50" s="25" t="s">
        <v>547</v>
      </c>
      <c r="O50" s="25" t="s">
        <v>621</v>
      </c>
      <c r="R50" s="25" t="s">
        <v>49</v>
      </c>
      <c r="S50" s="25" t="s">
        <v>435</v>
      </c>
    </row>
    <row r="51" spans="14:21" x14ac:dyDescent="0.2">
      <c r="N51" s="26" t="s">
        <v>367</v>
      </c>
      <c r="O51" s="26" t="s">
        <v>616</v>
      </c>
      <c r="R51" s="26" t="s">
        <v>286</v>
      </c>
      <c r="S51" s="26" t="s">
        <v>625</v>
      </c>
    </row>
    <row r="52" spans="14:21" x14ac:dyDescent="0.2">
      <c r="N52" s="25" t="s">
        <v>39</v>
      </c>
      <c r="O52" s="25" t="s">
        <v>622</v>
      </c>
      <c r="R52" s="25" t="s">
        <v>291</v>
      </c>
      <c r="S52" s="25" t="s">
        <v>6</v>
      </c>
      <c r="U52" t="s">
        <v>465</v>
      </c>
    </row>
    <row r="53" spans="14:21" x14ac:dyDescent="0.2">
      <c r="N53" s="25" t="s">
        <v>41</v>
      </c>
      <c r="O53" s="25" t="s">
        <v>373</v>
      </c>
      <c r="R53" s="25" t="s">
        <v>41</v>
      </c>
      <c r="S53" s="25" t="s">
        <v>373</v>
      </c>
    </row>
    <row r="54" spans="14:21" x14ac:dyDescent="0.2">
      <c r="N54" s="25" t="s">
        <v>41</v>
      </c>
      <c r="O54" s="25" t="s">
        <v>496</v>
      </c>
      <c r="R54" s="25" t="s">
        <v>41</v>
      </c>
      <c r="S54" s="25" t="s">
        <v>496</v>
      </c>
    </row>
    <row r="56" spans="14:21" x14ac:dyDescent="0.2">
      <c r="N56" s="25" t="s">
        <v>10</v>
      </c>
      <c r="O56" s="25" t="s">
        <v>615</v>
      </c>
      <c r="R56" s="26" t="s">
        <v>367</v>
      </c>
      <c r="S56" s="25" t="s">
        <v>615</v>
      </c>
    </row>
    <row r="57" spans="14:21" x14ac:dyDescent="0.2">
      <c r="N57" s="25" t="s">
        <v>547</v>
      </c>
      <c r="O57" s="25" t="s">
        <v>621</v>
      </c>
      <c r="R57" s="25" t="s">
        <v>49</v>
      </c>
      <c r="S57" s="25" t="s">
        <v>435</v>
      </c>
    </row>
    <row r="58" spans="14:21" x14ac:dyDescent="0.2">
      <c r="N58" s="26" t="s">
        <v>367</v>
      </c>
      <c r="O58" s="26" t="s">
        <v>616</v>
      </c>
      <c r="R58" s="26" t="s">
        <v>286</v>
      </c>
      <c r="S58" s="26" t="s">
        <v>625</v>
      </c>
    </row>
    <row r="59" spans="14:21" x14ac:dyDescent="0.2">
      <c r="N59" s="25" t="s">
        <v>382</v>
      </c>
      <c r="O59" s="25" t="s">
        <v>623</v>
      </c>
      <c r="R59" s="25" t="s">
        <v>298</v>
      </c>
      <c r="S59" s="25" t="s">
        <v>626</v>
      </c>
    </row>
    <row r="60" spans="14:21" x14ac:dyDescent="0.2">
      <c r="N60" s="25" t="s">
        <v>41</v>
      </c>
      <c r="O60" s="25" t="s">
        <v>373</v>
      </c>
      <c r="R60" s="25" t="s">
        <v>41</v>
      </c>
      <c r="S60" s="25" t="s">
        <v>373</v>
      </c>
    </row>
    <row r="61" spans="14:21" x14ac:dyDescent="0.2">
      <c r="N61" s="25" t="s">
        <v>41</v>
      </c>
      <c r="O61" s="25" t="s">
        <v>496</v>
      </c>
      <c r="R61" s="25" t="s">
        <v>41</v>
      </c>
      <c r="S61" s="25" t="s">
        <v>496</v>
      </c>
    </row>
    <row r="63" spans="14:21" x14ac:dyDescent="0.2">
      <c r="N63" s="25" t="s">
        <v>10</v>
      </c>
      <c r="O63" s="25" t="s">
        <v>615</v>
      </c>
      <c r="R63" s="26" t="s">
        <v>367</v>
      </c>
      <c r="S63" s="25" t="s">
        <v>615</v>
      </c>
    </row>
    <row r="64" spans="14:21" x14ac:dyDescent="0.2">
      <c r="N64" s="25" t="s">
        <v>547</v>
      </c>
      <c r="O64" s="25" t="s">
        <v>621</v>
      </c>
      <c r="R64" s="25" t="s">
        <v>49</v>
      </c>
      <c r="S64" s="25" t="s">
        <v>435</v>
      </c>
    </row>
    <row r="65" spans="14:19" x14ac:dyDescent="0.2">
      <c r="N65" s="25" t="s">
        <v>39</v>
      </c>
      <c r="O65" s="25" t="s">
        <v>622</v>
      </c>
      <c r="R65" s="25" t="s">
        <v>291</v>
      </c>
      <c r="S65" s="25" t="s">
        <v>6</v>
      </c>
    </row>
    <row r="66" spans="14:19" x14ac:dyDescent="0.2">
      <c r="N66" s="25" t="s">
        <v>382</v>
      </c>
      <c r="O66" s="25" t="s">
        <v>623</v>
      </c>
      <c r="R66" s="25" t="s">
        <v>298</v>
      </c>
      <c r="S66" s="25" t="s">
        <v>626</v>
      </c>
    </row>
    <row r="67" spans="14:19" x14ac:dyDescent="0.2">
      <c r="N67" s="25" t="s">
        <v>41</v>
      </c>
      <c r="O67" s="25" t="s">
        <v>373</v>
      </c>
      <c r="R67" s="25" t="s">
        <v>41</v>
      </c>
      <c r="S67" s="25" t="s">
        <v>373</v>
      </c>
    </row>
    <row r="68" spans="14:19" x14ac:dyDescent="0.2">
      <c r="N68" s="25" t="s">
        <v>41</v>
      </c>
      <c r="O68" s="25" t="s">
        <v>496</v>
      </c>
      <c r="R68" s="25" t="s">
        <v>41</v>
      </c>
      <c r="S68" s="25" t="s">
        <v>496</v>
      </c>
    </row>
  </sheetData>
  <mergeCells count="25">
    <mergeCell ref="R18:R20"/>
    <mergeCell ref="R21:R23"/>
    <mergeCell ref="R24:R26"/>
    <mergeCell ref="R8:T8"/>
    <mergeCell ref="R9:T9"/>
    <mergeCell ref="R11:R13"/>
    <mergeCell ref="R15:R17"/>
    <mergeCell ref="N18:N20"/>
    <mergeCell ref="N21:N23"/>
    <mergeCell ref="N24:N26"/>
    <mergeCell ref="N8:P8"/>
    <mergeCell ref="N9:P9"/>
    <mergeCell ref="N11:N13"/>
    <mergeCell ref="N15:N17"/>
    <mergeCell ref="A14:A16"/>
    <mergeCell ref="F14:F16"/>
    <mergeCell ref="J8:L8"/>
    <mergeCell ref="J9:L9"/>
    <mergeCell ref="J11:J13"/>
    <mergeCell ref="A8:C8"/>
    <mergeCell ref="F8:H8"/>
    <mergeCell ref="F9:H9"/>
    <mergeCell ref="A11:A13"/>
    <mergeCell ref="F11:F13"/>
    <mergeCell ref="J14:J16"/>
  </mergeCells>
  <phoneticPr fontId="5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64"/>
  <sheetViews>
    <sheetView topLeftCell="A7" workbookViewId="0">
      <selection activeCell="J40" sqref="J40"/>
    </sheetView>
  </sheetViews>
  <sheetFormatPr defaultRowHeight="12.75" x14ac:dyDescent="0.2"/>
  <sheetData>
    <row r="2" spans="1:23" x14ac:dyDescent="0.2">
      <c r="A2" s="9"/>
      <c r="B2" s="48">
        <v>13.875</v>
      </c>
      <c r="C2" s="15" t="s">
        <v>319</v>
      </c>
      <c r="D2" s="48">
        <v>24.536999999999999</v>
      </c>
      <c r="E2" s="12" t="s">
        <v>321</v>
      </c>
      <c r="F2" s="12" t="s">
        <v>322</v>
      </c>
      <c r="G2" s="12" t="s">
        <v>108</v>
      </c>
      <c r="H2" s="12" t="s">
        <v>627</v>
      </c>
      <c r="I2" s="58">
        <v>63.036999999999999</v>
      </c>
      <c r="J2" s="12" t="s">
        <v>320</v>
      </c>
    </row>
    <row r="3" spans="1:23" x14ac:dyDescent="0.2">
      <c r="A3" s="19" t="s">
        <v>0</v>
      </c>
      <c r="B3" s="34">
        <f>57.3713/B2</f>
        <v>4.1348684684684684</v>
      </c>
      <c r="C3" s="34">
        <f t="shared" ref="C3:J3" si="0">57.3713/C2</f>
        <v>3.0924090274521219</v>
      </c>
      <c r="D3" s="34">
        <f t="shared" si="0"/>
        <v>2.3381546236296207</v>
      </c>
      <c r="E3" s="34">
        <f t="shared" si="0"/>
        <v>1.7652707692307692</v>
      </c>
      <c r="F3" s="34">
        <f t="shared" si="0"/>
        <v>1.4349282176979641</v>
      </c>
      <c r="G3" s="34">
        <f t="shared" si="0"/>
        <v>1.1474260000000001</v>
      </c>
      <c r="H3" s="34">
        <f t="shared" si="0"/>
        <v>1</v>
      </c>
      <c r="I3" s="34">
        <f t="shared" si="0"/>
        <v>0.91012104002411276</v>
      </c>
      <c r="J3" s="34">
        <f t="shared" si="0"/>
        <v>0.75429003418353924</v>
      </c>
    </row>
    <row r="4" spans="1:23" x14ac:dyDescent="0.2">
      <c r="A4" s="19" t="s">
        <v>1</v>
      </c>
      <c r="B4" s="34"/>
      <c r="C4" s="49">
        <f t="shared" ref="C4:J4" si="1">B3/C3</f>
        <v>1.3371027027027027</v>
      </c>
      <c r="D4" s="34">
        <f t="shared" si="1"/>
        <v>1.3225853398230947</v>
      </c>
      <c r="E4" s="36">
        <f t="shared" si="1"/>
        <v>1.3245303011778131</v>
      </c>
      <c r="F4" s="36">
        <f t="shared" si="1"/>
        <v>1.2302153846153845</v>
      </c>
      <c r="G4" s="36">
        <f t="shared" si="1"/>
        <v>1.2505627532389574</v>
      </c>
      <c r="H4" s="36">
        <f t="shared" si="1"/>
        <v>1.1474260000000001</v>
      </c>
      <c r="I4" s="36">
        <f t="shared" si="1"/>
        <v>1.0987549523890867</v>
      </c>
      <c r="J4" s="36">
        <f t="shared" si="1"/>
        <v>1.2065929533448609</v>
      </c>
      <c r="L4" s="12" t="s">
        <v>562</v>
      </c>
      <c r="M4" s="10">
        <f>B3/J3</f>
        <v>5.4818018018018027</v>
      </c>
    </row>
    <row r="5" spans="1:23" x14ac:dyDescent="0.2">
      <c r="A5" s="9"/>
      <c r="B5" s="50">
        <f>100/B3</f>
        <v>24.184566150671156</v>
      </c>
      <c r="C5" s="8">
        <f t="shared" ref="C5:J5" si="2">100/C3</f>
        <v>32.337248763754701</v>
      </c>
      <c r="D5" s="50">
        <f t="shared" si="2"/>
        <v>42.76877114515446</v>
      </c>
      <c r="E5" s="7">
        <f t="shared" si="2"/>
        <v>56.648533325896402</v>
      </c>
      <c r="F5" s="7">
        <f t="shared" si="2"/>
        <v>69.689897213415065</v>
      </c>
      <c r="G5" s="7">
        <f t="shared" si="2"/>
        <v>87.151589732148295</v>
      </c>
      <c r="H5" s="7">
        <f t="shared" si="2"/>
        <v>100</v>
      </c>
      <c r="I5" s="7">
        <f t="shared" si="2"/>
        <v>109.87549523890866</v>
      </c>
      <c r="J5" s="7">
        <f t="shared" si="2"/>
        <v>132.57499830054402</v>
      </c>
    </row>
    <row r="6" spans="1:23" x14ac:dyDescent="0.2">
      <c r="A6" s="2"/>
      <c r="B6" s="136">
        <f>1/B3</f>
        <v>0.24184566150671155</v>
      </c>
      <c r="C6" s="136">
        <f t="shared" ref="C6:J6" si="3">1/C3</f>
        <v>0.323372487637547</v>
      </c>
      <c r="D6" s="136">
        <f t="shared" si="3"/>
        <v>0.42768771145154455</v>
      </c>
      <c r="E6" s="136">
        <f t="shared" si="3"/>
        <v>0.566485333258964</v>
      </c>
      <c r="F6" s="136">
        <f t="shared" si="3"/>
        <v>0.69689897213415075</v>
      </c>
      <c r="G6" s="136">
        <f t="shared" si="3"/>
        <v>0.87151589732148305</v>
      </c>
      <c r="H6" s="136">
        <f t="shared" si="3"/>
        <v>1</v>
      </c>
      <c r="I6" s="136">
        <f t="shared" si="3"/>
        <v>1.0987549523890867</v>
      </c>
      <c r="J6" s="136">
        <f t="shared" si="3"/>
        <v>1.3257499830054402</v>
      </c>
      <c r="K6" s="14"/>
      <c r="L6" s="14"/>
    </row>
    <row r="7" spans="1:23" x14ac:dyDescent="0.2">
      <c r="A7" s="253" t="s">
        <v>60</v>
      </c>
      <c r="B7" s="253"/>
      <c r="C7" s="253"/>
      <c r="D7" s="63"/>
      <c r="E7" s="189" t="s">
        <v>97</v>
      </c>
      <c r="F7" s="189"/>
      <c r="G7" s="189"/>
      <c r="H7" s="14"/>
      <c r="I7" s="189" t="s">
        <v>98</v>
      </c>
      <c r="J7" s="189"/>
      <c r="K7" s="189"/>
      <c r="L7" s="14"/>
      <c r="M7" s="189" t="s">
        <v>99</v>
      </c>
      <c r="N7" s="189"/>
      <c r="O7" s="189"/>
      <c r="Q7" s="189" t="s">
        <v>100</v>
      </c>
      <c r="R7" s="189"/>
      <c r="S7" s="189"/>
      <c r="U7" s="189" t="s">
        <v>101</v>
      </c>
      <c r="V7" s="189"/>
      <c r="W7" s="189"/>
    </row>
    <row r="8" spans="1:23" x14ac:dyDescent="0.2">
      <c r="A8" s="2"/>
      <c r="B8" s="2"/>
      <c r="C8" s="2"/>
      <c r="D8" s="63"/>
      <c r="E8" s="185" t="s">
        <v>635</v>
      </c>
      <c r="F8" s="185"/>
      <c r="G8" s="185"/>
      <c r="H8" s="14"/>
      <c r="I8" s="185" t="s">
        <v>636</v>
      </c>
      <c r="J8" s="185"/>
      <c r="K8" s="185"/>
      <c r="L8" s="14"/>
      <c r="M8" s="185" t="s">
        <v>637</v>
      </c>
      <c r="N8" s="185"/>
      <c r="O8" s="185"/>
      <c r="Q8" s="185" t="s">
        <v>638</v>
      </c>
      <c r="R8" s="185"/>
      <c r="S8" s="185"/>
      <c r="U8" s="185" t="s">
        <v>639</v>
      </c>
      <c r="V8" s="185"/>
      <c r="W8" s="185"/>
    </row>
    <row r="9" spans="1:23" x14ac:dyDescent="0.2">
      <c r="A9" s="7" t="s">
        <v>2</v>
      </c>
      <c r="B9" s="8" t="s">
        <v>3</v>
      </c>
      <c r="C9" s="20" t="s">
        <v>0</v>
      </c>
      <c r="D9" s="63"/>
      <c r="E9" s="7" t="s">
        <v>2</v>
      </c>
      <c r="F9" s="7" t="s">
        <v>3</v>
      </c>
      <c r="G9" s="21" t="s">
        <v>0</v>
      </c>
      <c r="H9" s="14"/>
      <c r="I9" s="7" t="s">
        <v>2</v>
      </c>
      <c r="J9" s="7" t="s">
        <v>3</v>
      </c>
      <c r="K9" s="21" t="s">
        <v>0</v>
      </c>
      <c r="L9" s="14"/>
      <c r="M9" s="7" t="s">
        <v>2</v>
      </c>
      <c r="N9" s="7" t="s">
        <v>3</v>
      </c>
      <c r="O9" s="21" t="s">
        <v>0</v>
      </c>
      <c r="Q9" s="7" t="s">
        <v>2</v>
      </c>
      <c r="R9" s="7" t="s">
        <v>3</v>
      </c>
      <c r="S9" s="21" t="s">
        <v>0</v>
      </c>
      <c r="U9" s="7" t="s">
        <v>2</v>
      </c>
      <c r="V9" s="7" t="s">
        <v>3</v>
      </c>
      <c r="W9" s="21" t="s">
        <v>0</v>
      </c>
    </row>
    <row r="10" spans="1:23" x14ac:dyDescent="0.2">
      <c r="A10" s="187" t="s">
        <v>326</v>
      </c>
      <c r="B10" s="25" t="s">
        <v>327</v>
      </c>
      <c r="C10" s="25" t="s">
        <v>629</v>
      </c>
      <c r="D10" s="63"/>
      <c r="E10" s="187" t="s">
        <v>281</v>
      </c>
      <c r="F10" s="18" t="s">
        <v>642</v>
      </c>
      <c r="G10" s="18" t="s">
        <v>641</v>
      </c>
      <c r="H10" s="14"/>
      <c r="I10" s="187" t="s">
        <v>57</v>
      </c>
      <c r="J10" s="25" t="s">
        <v>59</v>
      </c>
      <c r="K10" s="25" t="s">
        <v>644</v>
      </c>
      <c r="L10" s="14"/>
      <c r="M10" s="187" t="s">
        <v>120</v>
      </c>
      <c r="N10" s="18" t="s">
        <v>138</v>
      </c>
      <c r="O10" s="18" t="s">
        <v>645</v>
      </c>
      <c r="Q10" s="187" t="s">
        <v>120</v>
      </c>
      <c r="R10" s="18" t="s">
        <v>255</v>
      </c>
      <c r="S10" s="18" t="s">
        <v>646</v>
      </c>
      <c r="U10" s="187" t="s">
        <v>57</v>
      </c>
      <c r="V10" s="18" t="s">
        <v>57</v>
      </c>
      <c r="W10" s="18" t="s">
        <v>647</v>
      </c>
    </row>
    <row r="11" spans="1:23" x14ac:dyDescent="0.2">
      <c r="A11" s="187"/>
      <c r="B11" s="5"/>
      <c r="C11" s="5"/>
      <c r="D11" s="63"/>
      <c r="E11" s="187"/>
      <c r="F11" s="5"/>
      <c r="G11" s="5"/>
      <c r="H11" s="14"/>
      <c r="I11" s="187"/>
      <c r="J11" s="5"/>
      <c r="K11" s="5"/>
      <c r="L11" s="14"/>
      <c r="M11" s="187"/>
      <c r="N11" s="5"/>
      <c r="O11" s="5"/>
      <c r="Q11" s="187"/>
      <c r="R11" s="5"/>
      <c r="S11" s="5"/>
      <c r="U11" s="187"/>
      <c r="V11" s="5"/>
      <c r="W11" s="5"/>
    </row>
    <row r="12" spans="1:23" x14ac:dyDescent="0.2">
      <c r="A12" s="187"/>
      <c r="B12" s="5"/>
      <c r="C12" s="5"/>
      <c r="D12" s="63"/>
      <c r="E12" s="187"/>
      <c r="F12" s="5"/>
      <c r="G12" s="5"/>
      <c r="H12" s="14"/>
      <c r="I12" s="187"/>
      <c r="J12" s="5"/>
      <c r="K12" s="5"/>
      <c r="L12" s="14"/>
      <c r="M12" s="187"/>
      <c r="N12" s="5"/>
      <c r="O12" s="5"/>
      <c r="Q12" s="187"/>
      <c r="R12" s="5"/>
      <c r="S12" s="5"/>
      <c r="U12" s="187"/>
      <c r="V12" s="5"/>
      <c r="W12" s="5"/>
    </row>
    <row r="13" spans="1:23" x14ac:dyDescent="0.2">
      <c r="D13" s="63"/>
      <c r="E13" s="186" t="s">
        <v>326</v>
      </c>
      <c r="F13" s="25" t="s">
        <v>327</v>
      </c>
      <c r="G13" s="25" t="s">
        <v>629</v>
      </c>
      <c r="H13" s="2"/>
      <c r="I13" s="5" t="s">
        <v>41</v>
      </c>
      <c r="J13" s="4" t="s">
        <v>640</v>
      </c>
      <c r="K13" s="7"/>
      <c r="L13" s="14"/>
      <c r="M13" s="5" t="s">
        <v>41</v>
      </c>
      <c r="N13" s="4" t="s">
        <v>218</v>
      </c>
      <c r="Q13" s="5" t="s">
        <v>41</v>
      </c>
      <c r="R13" s="4" t="s">
        <v>249</v>
      </c>
      <c r="U13" s="5" t="s">
        <v>41</v>
      </c>
      <c r="V13" s="4" t="s">
        <v>237</v>
      </c>
    </row>
    <row r="14" spans="1:23" x14ac:dyDescent="0.2">
      <c r="A14" s="187" t="s">
        <v>160</v>
      </c>
      <c r="B14" s="18" t="s">
        <v>630</v>
      </c>
      <c r="C14" s="18" t="s">
        <v>631</v>
      </c>
      <c r="D14" s="63"/>
      <c r="E14" s="186"/>
      <c r="F14" s="4"/>
      <c r="G14" s="4"/>
      <c r="H14" s="2"/>
      <c r="L14" s="14"/>
    </row>
    <row r="15" spans="1:23" x14ac:dyDescent="0.2">
      <c r="A15" s="187"/>
      <c r="B15" s="5"/>
      <c r="C15" s="5"/>
      <c r="D15" s="63"/>
      <c r="E15" s="186"/>
      <c r="F15" s="4"/>
      <c r="G15" s="4"/>
      <c r="H15" s="2"/>
      <c r="L15" s="14"/>
    </row>
    <row r="16" spans="1:23" x14ac:dyDescent="0.2">
      <c r="A16" s="187"/>
      <c r="B16" s="5"/>
      <c r="C16" s="5"/>
      <c r="D16" s="63"/>
      <c r="E16" s="187" t="s">
        <v>70</v>
      </c>
      <c r="F16" s="26" t="s">
        <v>70</v>
      </c>
      <c r="G16" s="26" t="s">
        <v>643</v>
      </c>
      <c r="H16" s="2"/>
      <c r="L16" s="14"/>
    </row>
    <row r="17" spans="1:12" x14ac:dyDescent="0.2">
      <c r="A17" s="187" t="s">
        <v>15</v>
      </c>
      <c r="B17" s="18" t="s">
        <v>446</v>
      </c>
      <c r="C17" s="18" t="s">
        <v>632</v>
      </c>
      <c r="D17" s="63"/>
      <c r="E17" s="187"/>
      <c r="F17" s="4"/>
      <c r="G17" s="4"/>
      <c r="H17" s="2"/>
      <c r="L17" s="14"/>
    </row>
    <row r="18" spans="1:12" x14ac:dyDescent="0.2">
      <c r="A18" s="187"/>
      <c r="B18" s="5"/>
      <c r="C18" s="5"/>
      <c r="D18" s="63"/>
      <c r="E18" s="187"/>
      <c r="F18" s="4"/>
      <c r="G18" s="4"/>
      <c r="H18" s="2"/>
      <c r="L18" s="14"/>
    </row>
    <row r="19" spans="1:12" x14ac:dyDescent="0.2">
      <c r="A19" s="187"/>
      <c r="B19" s="5"/>
      <c r="C19" s="5"/>
      <c r="D19" s="63"/>
      <c r="E19" s="187" t="s">
        <v>35</v>
      </c>
      <c r="F19" s="29" t="s">
        <v>39</v>
      </c>
      <c r="G19" s="29" t="s">
        <v>609</v>
      </c>
      <c r="H19" s="2"/>
      <c r="L19" s="14"/>
    </row>
    <row r="20" spans="1:12" x14ac:dyDescent="0.2">
      <c r="A20" s="187" t="s">
        <v>478</v>
      </c>
      <c r="B20" s="18" t="s">
        <v>483</v>
      </c>
      <c r="C20" s="18" t="s">
        <v>633</v>
      </c>
      <c r="D20" s="63"/>
      <c r="E20" s="187"/>
      <c r="F20" s="4"/>
      <c r="G20" s="4"/>
      <c r="H20" s="2"/>
      <c r="L20" s="14"/>
    </row>
    <row r="21" spans="1:12" x14ac:dyDescent="0.2">
      <c r="A21" s="187"/>
      <c r="B21" s="5"/>
      <c r="C21" s="5"/>
      <c r="D21" s="63"/>
      <c r="E21" s="187"/>
      <c r="F21" s="4"/>
      <c r="G21" s="4"/>
      <c r="H21" s="2"/>
      <c r="L21" s="14"/>
    </row>
    <row r="22" spans="1:12" x14ac:dyDescent="0.2">
      <c r="A22" s="187"/>
      <c r="B22" s="5"/>
      <c r="C22" s="5"/>
      <c r="D22" s="63"/>
      <c r="E22" s="5" t="s">
        <v>41</v>
      </c>
      <c r="F22" s="4" t="s">
        <v>640</v>
      </c>
      <c r="G22" s="7"/>
      <c r="H22" s="2"/>
      <c r="L22" s="14"/>
    </row>
    <row r="23" spans="1:12" x14ac:dyDescent="0.2">
      <c r="A23" s="187" t="s">
        <v>116</v>
      </c>
      <c r="B23" s="18" t="s">
        <v>116</v>
      </c>
      <c r="C23" s="18" t="s">
        <v>634</v>
      </c>
      <c r="D23" s="63"/>
      <c r="E23" s="14"/>
      <c r="F23" s="14"/>
      <c r="G23" s="14"/>
      <c r="H23" s="14"/>
    </row>
    <row r="24" spans="1:12" x14ac:dyDescent="0.2">
      <c r="A24" s="187"/>
      <c r="B24" s="5"/>
      <c r="C24" s="5"/>
      <c r="D24" s="63"/>
      <c r="E24" s="15" t="s">
        <v>642</v>
      </c>
      <c r="F24" s="15" t="s">
        <v>641</v>
      </c>
      <c r="G24" s="257" t="s">
        <v>648</v>
      </c>
      <c r="H24" s="258"/>
    </row>
    <row r="25" spans="1:12" x14ac:dyDescent="0.2">
      <c r="A25" s="187"/>
      <c r="B25" s="5"/>
      <c r="C25" s="5"/>
      <c r="D25" s="63"/>
      <c r="E25" s="12" t="s">
        <v>39</v>
      </c>
      <c r="F25" s="12" t="s">
        <v>609</v>
      </c>
      <c r="G25" s="14"/>
      <c r="H25" s="14"/>
    </row>
    <row r="26" spans="1:12" x14ac:dyDescent="0.2">
      <c r="A26" s="5" t="s">
        <v>41</v>
      </c>
      <c r="B26" s="5" t="s">
        <v>628</v>
      </c>
      <c r="C26" s="2"/>
      <c r="D26" s="63"/>
      <c r="E26" s="15" t="s">
        <v>630</v>
      </c>
      <c r="F26" s="15" t="s">
        <v>631</v>
      </c>
      <c r="G26" s="14"/>
      <c r="H26" s="14"/>
    </row>
    <row r="27" spans="1:12" x14ac:dyDescent="0.2">
      <c r="A27" s="2"/>
      <c r="B27" s="2"/>
      <c r="C27" s="2"/>
      <c r="D27" s="63"/>
      <c r="E27" s="15" t="s">
        <v>446</v>
      </c>
      <c r="F27" s="15" t="s">
        <v>632</v>
      </c>
      <c r="G27" s="14"/>
      <c r="H27" s="14"/>
    </row>
    <row r="28" spans="1:12" x14ac:dyDescent="0.2">
      <c r="A28" s="2"/>
      <c r="B28" s="2"/>
      <c r="C28" s="2"/>
      <c r="D28" s="63"/>
      <c r="E28" s="15" t="s">
        <v>41</v>
      </c>
      <c r="F28" s="15" t="s">
        <v>628</v>
      </c>
      <c r="G28" s="14"/>
      <c r="H28" s="14"/>
    </row>
    <row r="29" spans="1:12" x14ac:dyDescent="0.2">
      <c r="A29" s="2"/>
      <c r="B29" s="2"/>
      <c r="C29" s="2"/>
      <c r="D29" s="63"/>
      <c r="E29" s="15" t="s">
        <v>41</v>
      </c>
      <c r="F29" s="12" t="s">
        <v>640</v>
      </c>
      <c r="G29" s="14"/>
      <c r="H29" s="14"/>
    </row>
    <row r="30" spans="1:12" x14ac:dyDescent="0.2">
      <c r="A30" s="2"/>
      <c r="B30" s="2"/>
      <c r="C30" s="2"/>
      <c r="D30" s="63"/>
      <c r="E30" s="14"/>
      <c r="F30" s="14"/>
      <c r="G30" s="14"/>
      <c r="H30" s="14"/>
    </row>
    <row r="31" spans="1:12" x14ac:dyDescent="0.2">
      <c r="A31" s="2"/>
      <c r="B31" s="2"/>
      <c r="C31" s="2"/>
      <c r="D31" s="63"/>
      <c r="E31" s="15" t="s">
        <v>642</v>
      </c>
      <c r="F31" s="15" t="s">
        <v>641</v>
      </c>
      <c r="G31" s="257" t="s">
        <v>649</v>
      </c>
      <c r="H31" s="258"/>
    </row>
    <row r="32" spans="1:12" x14ac:dyDescent="0.2">
      <c r="A32" s="2"/>
      <c r="B32" s="2"/>
      <c r="C32" s="2"/>
      <c r="D32" s="63"/>
      <c r="E32" s="12" t="s">
        <v>39</v>
      </c>
      <c r="F32" s="12" t="s">
        <v>609</v>
      </c>
      <c r="G32" s="14"/>
      <c r="H32" s="14"/>
    </row>
    <row r="33" spans="1:8" x14ac:dyDescent="0.2">
      <c r="A33" s="2"/>
      <c r="B33" s="2"/>
      <c r="C33" s="2"/>
      <c r="D33" s="63"/>
      <c r="E33" s="15" t="s">
        <v>630</v>
      </c>
      <c r="F33" s="15" t="s">
        <v>631</v>
      </c>
      <c r="G33" s="14"/>
      <c r="H33" s="14"/>
    </row>
    <row r="34" spans="1:8" x14ac:dyDescent="0.2">
      <c r="A34" s="2"/>
      <c r="B34" s="2"/>
      <c r="C34" s="2"/>
      <c r="D34" s="63"/>
      <c r="E34" s="15" t="s">
        <v>483</v>
      </c>
      <c r="F34" s="15" t="s">
        <v>633</v>
      </c>
      <c r="G34" s="14"/>
      <c r="H34" s="14"/>
    </row>
    <row r="35" spans="1:8" x14ac:dyDescent="0.2">
      <c r="A35" s="2"/>
      <c r="B35" s="2"/>
      <c r="C35" s="2"/>
      <c r="D35" s="14"/>
      <c r="E35" s="15" t="s">
        <v>41</v>
      </c>
      <c r="F35" s="15" t="s">
        <v>628</v>
      </c>
      <c r="G35" s="14"/>
      <c r="H35" s="14"/>
    </row>
    <row r="36" spans="1:8" x14ac:dyDescent="0.2">
      <c r="A36" s="2"/>
      <c r="B36" s="2"/>
      <c r="C36" s="2"/>
      <c r="D36" s="14"/>
      <c r="E36" s="15" t="s">
        <v>41</v>
      </c>
      <c r="F36" s="12" t="s">
        <v>640</v>
      </c>
      <c r="G36" s="14"/>
      <c r="H36" s="14"/>
    </row>
    <row r="37" spans="1:8" x14ac:dyDescent="0.2">
      <c r="A37" s="2"/>
      <c r="B37" s="2"/>
      <c r="C37" s="2"/>
      <c r="D37" s="14"/>
      <c r="E37" s="14"/>
      <c r="F37" s="14"/>
      <c r="G37" s="14"/>
      <c r="H37" s="14"/>
    </row>
    <row r="38" spans="1:8" x14ac:dyDescent="0.2">
      <c r="A38" s="2"/>
      <c r="B38" s="2"/>
      <c r="C38" s="2"/>
      <c r="D38" s="14"/>
      <c r="E38" s="25" t="s">
        <v>642</v>
      </c>
      <c r="F38" s="25" t="s">
        <v>641</v>
      </c>
      <c r="G38" s="14"/>
      <c r="H38" s="14"/>
    </row>
    <row r="39" spans="1:8" x14ac:dyDescent="0.2">
      <c r="A39" s="2"/>
      <c r="B39" s="2"/>
      <c r="C39" s="2"/>
      <c r="D39" s="14"/>
      <c r="E39" s="26" t="s">
        <v>39</v>
      </c>
      <c r="F39" s="26" t="s">
        <v>609</v>
      </c>
      <c r="G39" s="14"/>
      <c r="H39" s="14"/>
    </row>
    <row r="40" spans="1:8" x14ac:dyDescent="0.2">
      <c r="A40" s="2"/>
      <c r="B40" s="2"/>
      <c r="C40" s="2"/>
      <c r="D40" s="14"/>
      <c r="E40" s="25" t="s">
        <v>630</v>
      </c>
      <c r="F40" s="25" t="s">
        <v>631</v>
      </c>
      <c r="G40" s="14"/>
      <c r="H40" s="14"/>
    </row>
    <row r="41" spans="1:8" x14ac:dyDescent="0.2">
      <c r="A41" s="2"/>
      <c r="B41" s="2"/>
      <c r="C41" s="2"/>
      <c r="D41" s="14"/>
      <c r="E41" s="25" t="s">
        <v>116</v>
      </c>
      <c r="F41" s="25" t="s">
        <v>634</v>
      </c>
      <c r="G41" s="14"/>
      <c r="H41" s="14"/>
    </row>
    <row r="42" spans="1:8" x14ac:dyDescent="0.2">
      <c r="A42" s="14"/>
      <c r="B42" s="14"/>
      <c r="C42" s="14"/>
      <c r="D42" s="14"/>
      <c r="E42" s="25" t="s">
        <v>41</v>
      </c>
      <c r="F42" s="25" t="s">
        <v>628</v>
      </c>
      <c r="G42" s="14"/>
      <c r="H42" s="14"/>
    </row>
    <row r="43" spans="1:8" x14ac:dyDescent="0.2">
      <c r="A43" s="14"/>
      <c r="B43" s="14"/>
      <c r="C43" s="14"/>
      <c r="D43" s="14"/>
      <c r="E43" s="25" t="s">
        <v>41</v>
      </c>
      <c r="F43" s="26" t="s">
        <v>640</v>
      </c>
      <c r="G43" s="14"/>
      <c r="H43" s="14"/>
    </row>
    <row r="45" spans="1:8" x14ac:dyDescent="0.2">
      <c r="E45" s="25" t="s">
        <v>642</v>
      </c>
      <c r="F45" s="25" t="s">
        <v>641</v>
      </c>
    </row>
    <row r="46" spans="1:8" x14ac:dyDescent="0.2">
      <c r="E46" s="26" t="s">
        <v>39</v>
      </c>
      <c r="F46" s="26" t="s">
        <v>609</v>
      </c>
    </row>
    <row r="47" spans="1:8" x14ac:dyDescent="0.2">
      <c r="E47" s="25" t="s">
        <v>446</v>
      </c>
      <c r="F47" s="25" t="s">
        <v>632</v>
      </c>
    </row>
    <row r="48" spans="1:8" x14ac:dyDescent="0.2">
      <c r="E48" s="25" t="s">
        <v>483</v>
      </c>
      <c r="F48" s="25" t="s">
        <v>633</v>
      </c>
    </row>
    <row r="49" spans="5:6" x14ac:dyDescent="0.2">
      <c r="E49" s="25" t="s">
        <v>41</v>
      </c>
      <c r="F49" s="25" t="s">
        <v>628</v>
      </c>
    </row>
    <row r="50" spans="5:6" x14ac:dyDescent="0.2">
      <c r="E50" s="25" t="s">
        <v>41</v>
      </c>
      <c r="F50" s="26" t="s">
        <v>640</v>
      </c>
    </row>
    <row r="52" spans="5:6" x14ac:dyDescent="0.2">
      <c r="E52" s="25" t="s">
        <v>642</v>
      </c>
      <c r="F52" s="25" t="s">
        <v>641</v>
      </c>
    </row>
    <row r="53" spans="5:6" x14ac:dyDescent="0.2">
      <c r="E53" s="26" t="s">
        <v>39</v>
      </c>
      <c r="F53" s="26" t="s">
        <v>609</v>
      </c>
    </row>
    <row r="54" spans="5:6" x14ac:dyDescent="0.2">
      <c r="E54" s="25" t="s">
        <v>446</v>
      </c>
      <c r="F54" s="25" t="s">
        <v>632</v>
      </c>
    </row>
    <row r="55" spans="5:6" x14ac:dyDescent="0.2">
      <c r="E55" s="25" t="s">
        <v>116</v>
      </c>
      <c r="F55" s="25" t="s">
        <v>634</v>
      </c>
    </row>
    <row r="56" spans="5:6" x14ac:dyDescent="0.2">
      <c r="E56" s="25" t="s">
        <v>41</v>
      </c>
      <c r="F56" s="25" t="s">
        <v>628</v>
      </c>
    </row>
    <row r="57" spans="5:6" x14ac:dyDescent="0.2">
      <c r="E57" s="25" t="s">
        <v>41</v>
      </c>
      <c r="F57" s="26" t="s">
        <v>640</v>
      </c>
    </row>
    <row r="59" spans="5:6" x14ac:dyDescent="0.2">
      <c r="E59" s="25" t="s">
        <v>642</v>
      </c>
      <c r="F59" s="25" t="s">
        <v>641</v>
      </c>
    </row>
    <row r="60" spans="5:6" x14ac:dyDescent="0.2">
      <c r="E60" s="26" t="s">
        <v>39</v>
      </c>
      <c r="F60" s="26" t="s">
        <v>609</v>
      </c>
    </row>
    <row r="61" spans="5:6" x14ac:dyDescent="0.2">
      <c r="E61" s="25" t="s">
        <v>483</v>
      </c>
      <c r="F61" s="25" t="s">
        <v>633</v>
      </c>
    </row>
    <row r="62" spans="5:6" x14ac:dyDescent="0.2">
      <c r="E62" s="25" t="s">
        <v>116</v>
      </c>
      <c r="F62" s="25" t="s">
        <v>634</v>
      </c>
    </row>
    <row r="63" spans="5:6" x14ac:dyDescent="0.2">
      <c r="E63" s="25" t="s">
        <v>41</v>
      </c>
      <c r="F63" s="25" t="s">
        <v>628</v>
      </c>
    </row>
    <row r="64" spans="5:6" x14ac:dyDescent="0.2">
      <c r="E64" s="25" t="s">
        <v>41</v>
      </c>
      <c r="F64" s="26" t="s">
        <v>640</v>
      </c>
    </row>
  </sheetData>
  <mergeCells count="26">
    <mergeCell ref="G24:H24"/>
    <mergeCell ref="E10:E12"/>
    <mergeCell ref="U7:W7"/>
    <mergeCell ref="Q8:S8"/>
    <mergeCell ref="Q10:Q12"/>
    <mergeCell ref="Q7:S7"/>
    <mergeCell ref="M7:O7"/>
    <mergeCell ref="M8:O8"/>
    <mergeCell ref="U8:W8"/>
    <mergeCell ref="U10:U12"/>
    <mergeCell ref="E13:E15"/>
    <mergeCell ref="M10:M12"/>
    <mergeCell ref="G31:H31"/>
    <mergeCell ref="A7:C7"/>
    <mergeCell ref="E7:G7"/>
    <mergeCell ref="I7:K7"/>
    <mergeCell ref="E8:G8"/>
    <mergeCell ref="I8:K8"/>
    <mergeCell ref="A23:A25"/>
    <mergeCell ref="E16:E18"/>
    <mergeCell ref="E19:E21"/>
    <mergeCell ref="A10:A12"/>
    <mergeCell ref="A17:A19"/>
    <mergeCell ref="A20:A22"/>
    <mergeCell ref="I10:I12"/>
    <mergeCell ref="A14:A16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0"/>
  <sheetViews>
    <sheetView workbookViewId="0">
      <selection activeCell="L40" sqref="L40"/>
    </sheetView>
  </sheetViews>
  <sheetFormatPr defaultRowHeight="12.75" x14ac:dyDescent="0.2"/>
  <cols>
    <col min="12" max="12" width="7.85546875" customWidth="1"/>
    <col min="13" max="13" width="12" customWidth="1"/>
  </cols>
  <sheetData>
    <row r="3" spans="1:13" x14ac:dyDescent="0.2">
      <c r="A3" s="9"/>
      <c r="B3" s="142">
        <v>5.66</v>
      </c>
      <c r="C3" s="142">
        <v>11.16</v>
      </c>
      <c r="D3" s="142">
        <v>16.72</v>
      </c>
      <c r="E3" s="143">
        <v>25.04</v>
      </c>
      <c r="F3" s="143">
        <v>33.28</v>
      </c>
      <c r="G3" s="143">
        <v>41.76</v>
      </c>
      <c r="H3" s="143">
        <v>50</v>
      </c>
      <c r="I3" s="144">
        <v>55.5</v>
      </c>
      <c r="J3" s="143">
        <v>61.16</v>
      </c>
      <c r="K3" s="143" t="s">
        <v>840</v>
      </c>
    </row>
    <row r="4" spans="1:13" x14ac:dyDescent="0.2">
      <c r="A4" s="19" t="s">
        <v>0</v>
      </c>
      <c r="B4" s="145">
        <f>66.6596/B3</f>
        <v>11.777314487632507</v>
      </c>
      <c r="C4" s="145">
        <f t="shared" ref="C4:K4" si="0">66.6596/C3</f>
        <v>5.973082437275985</v>
      </c>
      <c r="D4" s="145">
        <f t="shared" si="0"/>
        <v>3.9868181818181818</v>
      </c>
      <c r="E4" s="145">
        <f t="shared" si="0"/>
        <v>2.6621246006389776</v>
      </c>
      <c r="F4" s="145">
        <f t="shared" si="0"/>
        <v>2.0029927884615382</v>
      </c>
      <c r="G4" s="145">
        <f t="shared" si="0"/>
        <v>1.5962547892720307</v>
      </c>
      <c r="H4" s="145">
        <f t="shared" si="0"/>
        <v>1.3331919999999999</v>
      </c>
      <c r="I4" s="145">
        <f t="shared" si="0"/>
        <v>1.2010738738738738</v>
      </c>
      <c r="J4" s="145">
        <f t="shared" si="0"/>
        <v>1.0899215173315893</v>
      </c>
      <c r="K4" s="145">
        <f t="shared" si="0"/>
        <v>1</v>
      </c>
    </row>
    <row r="5" spans="1:13" x14ac:dyDescent="0.2">
      <c r="A5" s="19" t="s">
        <v>1</v>
      </c>
      <c r="B5" s="145"/>
      <c r="C5" s="145">
        <f t="shared" ref="C5:K5" si="1">B4/C4</f>
        <v>1.9717314487632509</v>
      </c>
      <c r="D5" s="145">
        <f t="shared" si="1"/>
        <v>1.4982078853046594</v>
      </c>
      <c r="E5" s="146">
        <f t="shared" si="1"/>
        <v>1.4976076555023923</v>
      </c>
      <c r="F5" s="146">
        <f t="shared" si="1"/>
        <v>1.3290734824281152</v>
      </c>
      <c r="G5" s="146">
        <f t="shared" si="1"/>
        <v>1.2548076923076921</v>
      </c>
      <c r="H5" s="146">
        <f t="shared" si="1"/>
        <v>1.1973180076628354</v>
      </c>
      <c r="I5" s="146">
        <f t="shared" si="1"/>
        <v>1.1100000000000001</v>
      </c>
      <c r="J5" s="146">
        <f t="shared" si="1"/>
        <v>1.1019819819819818</v>
      </c>
      <c r="K5" s="146">
        <f t="shared" si="1"/>
        <v>1.0899215173315893</v>
      </c>
      <c r="L5" s="12" t="s">
        <v>562</v>
      </c>
      <c r="M5" s="10">
        <f>B4/J4</f>
        <v>10.805653710247348</v>
      </c>
    </row>
    <row r="6" spans="1:13" x14ac:dyDescent="0.2">
      <c r="A6" s="9"/>
      <c r="B6" s="147">
        <f>100/B4</f>
        <v>8.4909000354037545</v>
      </c>
      <c r="C6" s="147">
        <f t="shared" ref="C6:J6" si="2">100/C4</f>
        <v>16.74177462811058</v>
      </c>
      <c r="D6" s="147">
        <f t="shared" si="2"/>
        <v>25.082658761828753</v>
      </c>
      <c r="E6" s="148">
        <f t="shared" si="2"/>
        <v>37.5639817820689</v>
      </c>
      <c r="F6" s="148">
        <f t="shared" si="2"/>
        <v>49.925292080960588</v>
      </c>
      <c r="G6" s="148">
        <f t="shared" si="2"/>
        <v>62.646640543897654</v>
      </c>
      <c r="H6" s="148">
        <f t="shared" si="2"/>
        <v>75.007950842789342</v>
      </c>
      <c r="I6" s="148">
        <f t="shared" si="2"/>
        <v>83.258825435496163</v>
      </c>
      <c r="J6" s="148">
        <f t="shared" si="2"/>
        <v>91.749725470899918</v>
      </c>
      <c r="K6" s="148">
        <f>100/K4</f>
        <v>100</v>
      </c>
    </row>
    <row r="7" spans="1:13" x14ac:dyDescent="0.2">
      <c r="A7" s="2"/>
      <c r="B7" s="149">
        <f>1/B4</f>
        <v>8.4909000354037534E-2</v>
      </c>
      <c r="C7" s="149">
        <f t="shared" ref="C7:J7" si="3">1/C4</f>
        <v>0.16741774628110581</v>
      </c>
      <c r="D7" s="149">
        <f t="shared" si="3"/>
        <v>0.25082658761828752</v>
      </c>
      <c r="E7" s="149">
        <f t="shared" si="3"/>
        <v>0.375639817820689</v>
      </c>
      <c r="F7" s="149">
        <f t="shared" si="3"/>
        <v>0.49925292080960587</v>
      </c>
      <c r="G7" s="149">
        <f t="shared" si="3"/>
        <v>0.62646640543897647</v>
      </c>
      <c r="H7" s="149">
        <f t="shared" si="3"/>
        <v>0.75007950842789339</v>
      </c>
      <c r="I7" s="149">
        <f t="shared" si="3"/>
        <v>0.83258825435496175</v>
      </c>
      <c r="J7" s="149">
        <f t="shared" si="3"/>
        <v>0.91749725470899912</v>
      </c>
      <c r="K7" s="149">
        <f>1/K4</f>
        <v>1</v>
      </c>
      <c r="L7" s="14"/>
    </row>
    <row r="9" spans="1:13" x14ac:dyDescent="0.2">
      <c r="A9" s="253" t="s">
        <v>60</v>
      </c>
      <c r="B9" s="253"/>
      <c r="C9" s="253"/>
      <c r="D9" s="63"/>
      <c r="E9" s="189" t="s">
        <v>97</v>
      </c>
      <c r="F9" s="189"/>
      <c r="G9" s="189"/>
      <c r="H9" s="14"/>
      <c r="I9" s="189" t="s">
        <v>98</v>
      </c>
      <c r="J9" s="189"/>
      <c r="K9" s="189"/>
      <c r="L9" s="14"/>
    </row>
    <row r="10" spans="1:13" x14ac:dyDescent="0.2">
      <c r="A10" s="2"/>
      <c r="B10" s="2"/>
      <c r="C10" s="2"/>
      <c r="D10" s="63"/>
      <c r="E10" s="185" t="s">
        <v>574</v>
      </c>
      <c r="F10" s="185"/>
      <c r="G10" s="185"/>
      <c r="H10" s="14"/>
      <c r="I10" s="185" t="s">
        <v>599</v>
      </c>
      <c r="J10" s="185"/>
      <c r="K10" s="185"/>
      <c r="L10" s="14"/>
    </row>
    <row r="11" spans="1:13" x14ac:dyDescent="0.2">
      <c r="A11" s="7" t="s">
        <v>2</v>
      </c>
      <c r="B11" s="8" t="s">
        <v>3</v>
      </c>
      <c r="C11" s="20" t="s">
        <v>0</v>
      </c>
      <c r="D11" s="63"/>
      <c r="E11" s="7"/>
      <c r="F11" s="7"/>
      <c r="G11" s="21"/>
      <c r="H11" s="14"/>
      <c r="I11" s="7"/>
      <c r="J11" s="7"/>
      <c r="K11" s="21"/>
      <c r="L11" s="14"/>
    </row>
    <row r="12" spans="1:13" x14ac:dyDescent="0.2">
      <c r="A12" s="187" t="s">
        <v>159</v>
      </c>
      <c r="B12" s="25" t="s">
        <v>177</v>
      </c>
      <c r="C12" s="150" t="s">
        <v>844</v>
      </c>
      <c r="D12" s="63"/>
      <c r="E12" s="187" t="s">
        <v>280</v>
      </c>
      <c r="F12" s="18" t="s">
        <v>374</v>
      </c>
      <c r="G12" s="18" t="s">
        <v>845</v>
      </c>
      <c r="H12" s="14"/>
      <c r="I12" s="187" t="s">
        <v>280</v>
      </c>
      <c r="J12" s="25" t="s">
        <v>296</v>
      </c>
      <c r="K12" s="25" t="s">
        <v>573</v>
      </c>
      <c r="L12" s="14"/>
    </row>
    <row r="13" spans="1:13" x14ac:dyDescent="0.2">
      <c r="A13" s="187"/>
      <c r="B13" s="5"/>
      <c r="C13" s="5"/>
      <c r="D13" s="63"/>
      <c r="E13" s="187"/>
      <c r="F13" s="5"/>
      <c r="G13" s="5"/>
      <c r="H13" s="14"/>
      <c r="I13" s="187"/>
      <c r="J13" s="5"/>
      <c r="K13" s="5"/>
      <c r="L13" s="14"/>
    </row>
    <row r="14" spans="1:13" x14ac:dyDescent="0.2">
      <c r="A14" s="187"/>
      <c r="B14" s="5"/>
      <c r="C14" s="5"/>
      <c r="D14" s="63"/>
      <c r="E14" s="187"/>
      <c r="F14" s="5"/>
      <c r="G14" s="5"/>
      <c r="H14" s="14"/>
      <c r="I14" s="187"/>
      <c r="J14" s="5"/>
      <c r="K14" s="5"/>
      <c r="L14" s="14"/>
    </row>
    <row r="15" spans="1:13" x14ac:dyDescent="0.2">
      <c r="A15" s="216" t="s">
        <v>842</v>
      </c>
      <c r="B15" s="25" t="s">
        <v>182</v>
      </c>
      <c r="C15" s="25" t="s">
        <v>187</v>
      </c>
      <c r="D15" s="63"/>
      <c r="E15" s="186" t="s">
        <v>519</v>
      </c>
      <c r="F15" s="25" t="s">
        <v>70</v>
      </c>
      <c r="G15" s="25" t="s">
        <v>846</v>
      </c>
      <c r="H15" s="2"/>
      <c r="I15" s="216" t="s">
        <v>819</v>
      </c>
      <c r="J15" s="29" t="s">
        <v>156</v>
      </c>
      <c r="K15" s="29" t="s">
        <v>479</v>
      </c>
      <c r="L15" s="14"/>
    </row>
    <row r="16" spans="1:13" x14ac:dyDescent="0.2">
      <c r="A16" s="217"/>
      <c r="B16" s="5"/>
      <c r="C16" s="5"/>
      <c r="D16" s="63"/>
      <c r="E16" s="186"/>
      <c r="F16" s="4"/>
      <c r="G16" s="4"/>
      <c r="H16" s="2"/>
      <c r="I16" s="217"/>
      <c r="J16" s="5"/>
      <c r="K16" s="5"/>
      <c r="L16" s="14"/>
    </row>
    <row r="17" spans="1:12" x14ac:dyDescent="0.2">
      <c r="A17" s="218"/>
      <c r="B17" s="5"/>
      <c r="C17" s="5"/>
      <c r="D17" s="63"/>
      <c r="E17" s="186"/>
      <c r="F17" s="4"/>
      <c r="G17" s="4"/>
      <c r="H17" s="2"/>
      <c r="I17" s="217"/>
      <c r="J17" s="5"/>
      <c r="K17" s="5"/>
      <c r="L17" s="14"/>
    </row>
    <row r="18" spans="1:12" x14ac:dyDescent="0.2">
      <c r="A18" s="5" t="s">
        <v>841</v>
      </c>
      <c r="B18" s="5" t="s">
        <v>41</v>
      </c>
      <c r="C18" s="5" t="s">
        <v>158</v>
      </c>
      <c r="D18" s="63"/>
      <c r="E18" s="80"/>
      <c r="F18" s="45"/>
      <c r="G18" s="45"/>
      <c r="H18" s="46"/>
      <c r="I18" s="217"/>
      <c r="J18" s="18" t="s">
        <v>35</v>
      </c>
      <c r="K18" s="18" t="s">
        <v>455</v>
      </c>
      <c r="L18" s="14"/>
    </row>
    <row r="19" spans="1:12" x14ac:dyDescent="0.2">
      <c r="A19" s="216" t="s">
        <v>842</v>
      </c>
      <c r="B19" s="223" t="s">
        <v>41</v>
      </c>
      <c r="C19" s="5" t="s">
        <v>51</v>
      </c>
      <c r="D19" s="63"/>
      <c r="E19" s="80"/>
      <c r="F19" s="45"/>
      <c r="G19" s="45"/>
      <c r="H19" s="46"/>
      <c r="I19" s="217"/>
      <c r="J19" s="5"/>
      <c r="K19" s="5"/>
      <c r="L19" s="14"/>
    </row>
    <row r="20" spans="1:12" x14ac:dyDescent="0.2">
      <c r="A20" s="217"/>
      <c r="B20" s="224"/>
      <c r="C20" s="5" t="s">
        <v>52</v>
      </c>
      <c r="D20" s="63"/>
      <c r="E20" s="80"/>
      <c r="F20" s="45"/>
      <c r="G20" s="45"/>
      <c r="H20" s="46"/>
      <c r="I20" s="217"/>
      <c r="J20" s="5"/>
      <c r="K20" s="5"/>
      <c r="L20" s="14"/>
    </row>
    <row r="21" spans="1:12" x14ac:dyDescent="0.2">
      <c r="A21" s="218"/>
      <c r="B21" s="225"/>
      <c r="C21" s="5" t="s">
        <v>843</v>
      </c>
      <c r="D21" s="63"/>
      <c r="E21" s="80"/>
      <c r="F21" s="45"/>
      <c r="G21" s="45"/>
      <c r="H21" s="46"/>
      <c r="I21" s="217"/>
      <c r="J21" s="25" t="s">
        <v>59</v>
      </c>
      <c r="K21" s="25" t="s">
        <v>822</v>
      </c>
      <c r="L21" s="14"/>
    </row>
    <row r="22" spans="1:12" x14ac:dyDescent="0.2">
      <c r="A22" s="45"/>
      <c r="B22" s="46"/>
      <c r="C22" s="46"/>
      <c r="D22" s="63"/>
      <c r="E22" s="80"/>
      <c r="F22" s="45"/>
      <c r="G22" s="45"/>
      <c r="H22" s="46"/>
      <c r="I22" s="217"/>
      <c r="J22" s="5"/>
      <c r="K22" s="5"/>
      <c r="L22" s="14"/>
    </row>
    <row r="23" spans="1:12" x14ac:dyDescent="0.2">
      <c r="A23" s="45"/>
      <c r="B23" s="46"/>
      <c r="C23" s="46"/>
      <c r="D23" s="63"/>
      <c r="E23" s="80"/>
      <c r="F23" s="45"/>
      <c r="G23" s="45"/>
      <c r="H23" s="46"/>
      <c r="I23" s="217"/>
      <c r="J23" s="5"/>
      <c r="K23" s="5"/>
      <c r="L23" s="14"/>
    </row>
    <row r="24" spans="1:12" x14ac:dyDescent="0.2">
      <c r="A24" s="45"/>
      <c r="B24" s="46"/>
      <c r="C24" s="46"/>
      <c r="D24" s="63"/>
      <c r="E24" s="46"/>
      <c r="F24" s="45"/>
      <c r="G24" s="45"/>
      <c r="H24" s="46"/>
      <c r="I24" s="217"/>
      <c r="J24" s="25" t="s">
        <v>177</v>
      </c>
      <c r="K24" s="150" t="s">
        <v>844</v>
      </c>
      <c r="L24" s="14"/>
    </row>
    <row r="25" spans="1:12" x14ac:dyDescent="0.2">
      <c r="A25" s="45"/>
      <c r="B25" s="46"/>
      <c r="C25" s="46"/>
      <c r="D25" s="63"/>
      <c r="E25" s="81"/>
      <c r="F25" s="81"/>
      <c r="G25" s="81"/>
      <c r="H25" s="81"/>
      <c r="I25" s="217"/>
      <c r="J25" s="5"/>
      <c r="K25" s="5"/>
    </row>
    <row r="26" spans="1:12" x14ac:dyDescent="0.2">
      <c r="A26" s="45"/>
      <c r="B26" s="46"/>
      <c r="C26" s="46"/>
      <c r="D26" s="63"/>
      <c r="E26" s="46"/>
      <c r="F26" s="46"/>
      <c r="G26" s="259"/>
      <c r="H26" s="259"/>
      <c r="I26" s="218"/>
      <c r="J26" s="5"/>
      <c r="K26" s="5"/>
    </row>
    <row r="27" spans="1:12" x14ac:dyDescent="0.2">
      <c r="D27" s="63"/>
      <c r="E27" s="45"/>
      <c r="F27" s="45"/>
      <c r="G27" s="81"/>
      <c r="H27" s="81"/>
    </row>
    <row r="28" spans="1:12" x14ac:dyDescent="0.2">
      <c r="D28" s="63"/>
      <c r="E28" s="46"/>
      <c r="F28" s="46"/>
      <c r="G28" s="81"/>
      <c r="H28" s="81"/>
    </row>
    <row r="32" spans="1:12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14"/>
    </row>
  </sheetData>
  <mergeCells count="14">
    <mergeCell ref="I12:I14"/>
    <mergeCell ref="A9:C9"/>
    <mergeCell ref="E9:G9"/>
    <mergeCell ref="I9:K9"/>
    <mergeCell ref="G26:H26"/>
    <mergeCell ref="I15:I26"/>
    <mergeCell ref="E10:G10"/>
    <mergeCell ref="I10:K10"/>
    <mergeCell ref="A15:A17"/>
    <mergeCell ref="A19:A21"/>
    <mergeCell ref="B19:B21"/>
    <mergeCell ref="E15:E17"/>
    <mergeCell ref="A12:A14"/>
    <mergeCell ref="E12:E14"/>
  </mergeCells>
  <phoneticPr fontId="5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"/>
  <sheetViews>
    <sheetView workbookViewId="0">
      <selection activeCell="D31" sqref="D31"/>
    </sheetView>
  </sheetViews>
  <sheetFormatPr defaultRowHeight="12.75" x14ac:dyDescent="0.2"/>
  <sheetData>
    <row r="2" spans="1:13" x14ac:dyDescent="0.2">
      <c r="A2" s="9"/>
      <c r="B2" s="142">
        <v>5.66</v>
      </c>
      <c r="C2" s="142">
        <v>11.16</v>
      </c>
      <c r="D2" s="142">
        <v>16.72</v>
      </c>
      <c r="E2" s="143">
        <v>25.04</v>
      </c>
      <c r="F2" s="143">
        <v>33.28</v>
      </c>
      <c r="G2" s="143">
        <v>41.76</v>
      </c>
      <c r="H2" s="143">
        <v>50</v>
      </c>
      <c r="I2" s="144">
        <v>55.5</v>
      </c>
      <c r="J2" s="143">
        <v>61.16</v>
      </c>
      <c r="K2" s="143" t="s">
        <v>840</v>
      </c>
    </row>
    <row r="3" spans="1:13" x14ac:dyDescent="0.2">
      <c r="A3" s="19" t="s">
        <v>0</v>
      </c>
      <c r="B3" s="145">
        <f>61.16/B2</f>
        <v>10.805653710247348</v>
      </c>
      <c r="C3" s="145">
        <f t="shared" ref="C3:K3" si="0">61.16/C2</f>
        <v>5.4802867383512543</v>
      </c>
      <c r="D3" s="145">
        <f t="shared" si="0"/>
        <v>3.6578947368421053</v>
      </c>
      <c r="E3" s="145">
        <f t="shared" si="0"/>
        <v>2.4424920127795526</v>
      </c>
      <c r="F3" s="145">
        <f t="shared" si="0"/>
        <v>1.8377403846153844</v>
      </c>
      <c r="G3" s="145">
        <f t="shared" si="0"/>
        <v>1.4645593869731801</v>
      </c>
      <c r="H3" s="145">
        <f t="shared" si="0"/>
        <v>1.2231999999999998</v>
      </c>
      <c r="I3" s="145">
        <f t="shared" si="0"/>
        <v>1.1019819819819818</v>
      </c>
      <c r="J3" s="145">
        <f t="shared" si="0"/>
        <v>1</v>
      </c>
      <c r="K3" s="145">
        <f t="shared" si="0"/>
        <v>0.91749725470899912</v>
      </c>
    </row>
    <row r="4" spans="1:13" x14ac:dyDescent="0.2">
      <c r="A4" s="19" t="s">
        <v>1</v>
      </c>
      <c r="B4" s="145"/>
      <c r="C4" s="145">
        <f t="shared" ref="C4:K4" si="1">B3/C3</f>
        <v>1.9717314487632507</v>
      </c>
      <c r="D4" s="145">
        <f t="shared" si="1"/>
        <v>1.4982078853046594</v>
      </c>
      <c r="E4" s="146">
        <f t="shared" si="1"/>
        <v>1.4976076555023925</v>
      </c>
      <c r="F4" s="146">
        <f t="shared" si="1"/>
        <v>1.3290734824281152</v>
      </c>
      <c r="G4" s="146">
        <f t="shared" si="1"/>
        <v>1.2548076923076921</v>
      </c>
      <c r="H4" s="146">
        <f t="shared" si="1"/>
        <v>1.1973180076628354</v>
      </c>
      <c r="I4" s="146">
        <f t="shared" si="1"/>
        <v>1.1100000000000001</v>
      </c>
      <c r="J4" s="146">
        <f t="shared" si="1"/>
        <v>1.1019819819819818</v>
      </c>
      <c r="K4" s="146">
        <f t="shared" si="1"/>
        <v>1.0899215173315893</v>
      </c>
      <c r="L4" s="12" t="s">
        <v>562</v>
      </c>
      <c r="M4" s="10">
        <f>B3/J3</f>
        <v>10.805653710247348</v>
      </c>
    </row>
    <row r="5" spans="1:13" x14ac:dyDescent="0.2">
      <c r="A5" s="9"/>
      <c r="B5" s="147">
        <f>100/B3</f>
        <v>9.2544146500981039</v>
      </c>
      <c r="C5" s="147">
        <f t="shared" ref="C5:K5" si="2">100/C3</f>
        <v>18.247220405493788</v>
      </c>
      <c r="D5" s="147">
        <f t="shared" si="2"/>
        <v>27.338129496402878</v>
      </c>
      <c r="E5" s="148">
        <f t="shared" si="2"/>
        <v>40.941792020928716</v>
      </c>
      <c r="F5" s="148">
        <f t="shared" si="2"/>
        <v>54.414650098103344</v>
      </c>
      <c r="G5" s="148">
        <f t="shared" si="2"/>
        <v>68.279921517331587</v>
      </c>
      <c r="H5" s="148">
        <f t="shared" si="2"/>
        <v>81.752779594506222</v>
      </c>
      <c r="I5" s="148">
        <f t="shared" si="2"/>
        <v>90.745585349901916</v>
      </c>
      <c r="J5" s="148">
        <f t="shared" si="2"/>
        <v>100</v>
      </c>
      <c r="K5" s="148">
        <f t="shared" si="2"/>
        <v>108.99215173315893</v>
      </c>
    </row>
    <row r="6" spans="1:13" x14ac:dyDescent="0.2">
      <c r="A6" s="2"/>
      <c r="B6" s="149">
        <f>1/B3</f>
        <v>9.2544146500981042E-2</v>
      </c>
      <c r="C6" s="149">
        <f t="shared" ref="C6:K6" si="3">1/C3</f>
        <v>0.18247220405493786</v>
      </c>
      <c r="D6" s="149">
        <f t="shared" si="3"/>
        <v>0.2733812949640288</v>
      </c>
      <c r="E6" s="149">
        <f t="shared" si="3"/>
        <v>0.40941792020928713</v>
      </c>
      <c r="F6" s="149">
        <f t="shared" si="3"/>
        <v>0.54414650098103345</v>
      </c>
      <c r="G6" s="149">
        <f t="shared" si="3"/>
        <v>0.68279921517331588</v>
      </c>
      <c r="H6" s="149">
        <f t="shared" si="3"/>
        <v>0.8175277959450622</v>
      </c>
      <c r="I6" s="149">
        <f t="shared" si="3"/>
        <v>0.90745585349901914</v>
      </c>
      <c r="J6" s="149">
        <f t="shared" si="3"/>
        <v>1</v>
      </c>
      <c r="K6" s="149">
        <f t="shared" si="3"/>
        <v>1.0899215173315893</v>
      </c>
      <c r="L6" s="14"/>
    </row>
    <row r="8" spans="1:13" x14ac:dyDescent="0.2">
      <c r="A8" s="253" t="s">
        <v>60</v>
      </c>
      <c r="B8" s="253"/>
      <c r="C8" s="253"/>
      <c r="D8" s="63"/>
      <c r="E8" s="189" t="s">
        <v>97</v>
      </c>
      <c r="F8" s="189"/>
      <c r="G8" s="189"/>
      <c r="H8" s="14"/>
      <c r="I8" s="189" t="s">
        <v>98</v>
      </c>
      <c r="J8" s="189"/>
      <c r="K8" s="189"/>
      <c r="L8" s="14"/>
    </row>
    <row r="9" spans="1:13" x14ac:dyDescent="0.2">
      <c r="A9" s="2"/>
      <c r="B9" s="2"/>
      <c r="C9" s="2"/>
      <c r="D9" s="63"/>
      <c r="E9" s="185" t="s">
        <v>574</v>
      </c>
      <c r="F9" s="185"/>
      <c r="G9" s="185"/>
      <c r="H9" s="14"/>
      <c r="I9" s="185" t="s">
        <v>599</v>
      </c>
      <c r="J9" s="185"/>
      <c r="K9" s="185"/>
      <c r="L9" s="14"/>
    </row>
    <row r="10" spans="1:13" x14ac:dyDescent="0.2">
      <c r="A10" s="7" t="s">
        <v>2</v>
      </c>
      <c r="B10" s="8" t="s">
        <v>3</v>
      </c>
      <c r="C10" s="20" t="s">
        <v>0</v>
      </c>
      <c r="D10" s="63"/>
      <c r="E10" s="7"/>
      <c r="F10" s="7"/>
      <c r="G10" s="21"/>
      <c r="H10" s="14"/>
      <c r="I10" s="7"/>
      <c r="J10" s="7"/>
      <c r="K10" s="21"/>
      <c r="L10" s="14"/>
    </row>
    <row r="11" spans="1:13" x14ac:dyDescent="0.2">
      <c r="A11" s="187" t="s">
        <v>159</v>
      </c>
      <c r="B11" s="25" t="s">
        <v>177</v>
      </c>
      <c r="C11" s="150" t="s">
        <v>858</v>
      </c>
      <c r="D11" s="63"/>
      <c r="E11" s="187" t="s">
        <v>280</v>
      </c>
      <c r="F11" s="18" t="s">
        <v>374</v>
      </c>
      <c r="G11" s="18" t="s">
        <v>845</v>
      </c>
      <c r="H11" s="14"/>
      <c r="I11" s="187" t="s">
        <v>280</v>
      </c>
      <c r="J11" s="25" t="s">
        <v>296</v>
      </c>
      <c r="K11" s="25" t="s">
        <v>573</v>
      </c>
      <c r="L11" s="14"/>
    </row>
    <row r="12" spans="1:13" x14ac:dyDescent="0.2">
      <c r="A12" s="187"/>
      <c r="B12" s="5"/>
      <c r="C12" s="5"/>
      <c r="D12" s="63"/>
      <c r="E12" s="187"/>
      <c r="F12" s="5"/>
      <c r="G12" s="5"/>
      <c r="H12" s="14"/>
      <c r="I12" s="187"/>
      <c r="J12" s="5"/>
      <c r="K12" s="5"/>
      <c r="L12" s="14"/>
    </row>
    <row r="13" spans="1:13" x14ac:dyDescent="0.2">
      <c r="A13" s="187"/>
      <c r="B13" s="5"/>
      <c r="C13" s="5"/>
      <c r="D13" s="63"/>
      <c r="E13" s="187"/>
      <c r="F13" s="5"/>
      <c r="G13" s="5"/>
      <c r="H13" s="14"/>
      <c r="I13" s="187"/>
      <c r="J13" s="5"/>
      <c r="K13" s="5"/>
      <c r="L13" s="14"/>
    </row>
    <row r="14" spans="1:13" x14ac:dyDescent="0.2">
      <c r="A14" s="216" t="s">
        <v>842</v>
      </c>
      <c r="B14" s="25" t="s">
        <v>859</v>
      </c>
      <c r="C14" s="25" t="s">
        <v>187</v>
      </c>
      <c r="D14" s="63"/>
      <c r="E14" s="186" t="s">
        <v>519</v>
      </c>
      <c r="F14" s="25" t="s">
        <v>70</v>
      </c>
      <c r="G14" s="25" t="s">
        <v>846</v>
      </c>
      <c r="H14" s="2"/>
      <c r="I14" s="216" t="s">
        <v>819</v>
      </c>
      <c r="J14" s="29" t="s">
        <v>156</v>
      </c>
      <c r="K14" s="29" t="s">
        <v>479</v>
      </c>
      <c r="L14" s="14"/>
    </row>
    <row r="15" spans="1:13" x14ac:dyDescent="0.2">
      <c r="A15" s="217"/>
      <c r="B15" s="5"/>
      <c r="C15" s="5"/>
      <c r="D15" s="63"/>
      <c r="E15" s="186"/>
      <c r="F15" s="4"/>
      <c r="G15" s="4"/>
      <c r="H15" s="2"/>
      <c r="I15" s="217"/>
      <c r="J15" s="5"/>
      <c r="K15" s="5"/>
      <c r="L15" s="14"/>
    </row>
    <row r="16" spans="1:13" x14ac:dyDescent="0.2">
      <c r="A16" s="218"/>
      <c r="B16" s="5"/>
      <c r="C16" s="5"/>
      <c r="D16" s="63"/>
      <c r="E16" s="186"/>
      <c r="F16" s="4"/>
      <c r="G16" s="4"/>
      <c r="H16" s="2"/>
      <c r="I16" s="217"/>
      <c r="J16" s="5"/>
      <c r="K16" s="5"/>
      <c r="L16" s="14"/>
    </row>
    <row r="17" spans="1:12" x14ac:dyDescent="0.2">
      <c r="A17" s="5" t="s">
        <v>841</v>
      </c>
      <c r="B17" s="5" t="s">
        <v>41</v>
      </c>
      <c r="C17" s="5" t="s">
        <v>158</v>
      </c>
      <c r="D17" s="63"/>
      <c r="E17" s="80"/>
      <c r="F17" s="45"/>
      <c r="G17" s="45"/>
      <c r="H17" s="46"/>
      <c r="I17" s="217"/>
      <c r="J17" s="18" t="s">
        <v>35</v>
      </c>
      <c r="K17" s="18" t="s">
        <v>455</v>
      </c>
      <c r="L17" s="14"/>
    </row>
    <row r="18" spans="1:12" x14ac:dyDescent="0.2">
      <c r="A18" s="216" t="s">
        <v>842</v>
      </c>
      <c r="B18" s="223" t="s">
        <v>41</v>
      </c>
      <c r="C18" s="5" t="s">
        <v>51</v>
      </c>
      <c r="D18" s="63"/>
      <c r="E18" s="80"/>
      <c r="F18" s="45"/>
      <c r="G18" s="45"/>
      <c r="H18" s="46"/>
      <c r="I18" s="217"/>
      <c r="J18" s="5"/>
      <c r="K18" s="5"/>
      <c r="L18" s="14"/>
    </row>
    <row r="19" spans="1:12" x14ac:dyDescent="0.2">
      <c r="A19" s="217"/>
      <c r="B19" s="224"/>
      <c r="C19" s="5" t="s">
        <v>52</v>
      </c>
      <c r="D19" s="63"/>
      <c r="E19" s="80"/>
      <c r="F19" s="45"/>
      <c r="G19" s="45"/>
      <c r="H19" s="46"/>
      <c r="I19" s="217"/>
      <c r="J19" s="5"/>
      <c r="K19" s="5"/>
      <c r="L19" s="14"/>
    </row>
    <row r="20" spans="1:12" x14ac:dyDescent="0.2">
      <c r="A20" s="218"/>
      <c r="B20" s="225"/>
      <c r="C20" s="5" t="s">
        <v>843</v>
      </c>
      <c r="D20" s="63"/>
      <c r="E20" s="80"/>
      <c r="F20" s="45"/>
      <c r="G20" s="45"/>
      <c r="H20" s="46"/>
      <c r="I20" s="217"/>
      <c r="J20" s="25" t="s">
        <v>59</v>
      </c>
      <c r="K20" s="25" t="s">
        <v>822</v>
      </c>
      <c r="L20" s="14"/>
    </row>
    <row r="21" spans="1:12" x14ac:dyDescent="0.2">
      <c r="A21" s="45"/>
      <c r="B21" s="46"/>
      <c r="C21" s="46"/>
      <c r="D21" s="63"/>
      <c r="E21" s="80"/>
      <c r="F21" s="45"/>
      <c r="G21" s="45"/>
      <c r="H21" s="46"/>
      <c r="I21" s="217"/>
      <c r="J21" s="5"/>
      <c r="K21" s="5"/>
      <c r="L21" s="14"/>
    </row>
    <row r="22" spans="1:12" x14ac:dyDescent="0.2">
      <c r="A22" s="45"/>
      <c r="B22" s="46"/>
      <c r="C22" s="46"/>
      <c r="D22" s="63"/>
      <c r="E22" s="80"/>
      <c r="F22" s="45"/>
      <c r="G22" s="45"/>
      <c r="H22" s="46"/>
      <c r="I22" s="217"/>
      <c r="J22" s="5"/>
      <c r="K22" s="5"/>
      <c r="L22" s="14"/>
    </row>
    <row r="23" spans="1:12" x14ac:dyDescent="0.2">
      <c r="A23" s="45"/>
      <c r="B23" s="46"/>
      <c r="C23" s="46"/>
      <c r="D23" s="63"/>
      <c r="E23" s="46"/>
      <c r="F23" s="45"/>
      <c r="G23" s="45"/>
      <c r="H23" s="46"/>
      <c r="I23" s="217"/>
      <c r="J23" s="25" t="s">
        <v>177</v>
      </c>
      <c r="K23" s="150" t="s">
        <v>844</v>
      </c>
      <c r="L23" s="14"/>
    </row>
    <row r="24" spans="1:12" x14ac:dyDescent="0.2">
      <c r="A24" s="45"/>
      <c r="B24" s="46"/>
      <c r="C24" s="46"/>
      <c r="D24" s="63"/>
      <c r="E24" s="81"/>
      <c r="F24" s="81"/>
      <c r="G24" s="81"/>
      <c r="H24" s="81"/>
      <c r="I24" s="217"/>
      <c r="J24" s="5"/>
      <c r="K24" s="5"/>
    </row>
    <row r="25" spans="1:12" x14ac:dyDescent="0.2">
      <c r="A25" s="45"/>
      <c r="B25" s="46"/>
      <c r="C25" s="46"/>
      <c r="D25" s="63"/>
      <c r="E25" s="46"/>
      <c r="F25" s="46"/>
      <c r="G25" s="259"/>
      <c r="H25" s="259"/>
      <c r="I25" s="218"/>
      <c r="J25" s="5"/>
      <c r="K25" s="5"/>
    </row>
    <row r="26" spans="1:12" x14ac:dyDescent="0.2">
      <c r="D26" s="63"/>
      <c r="E26" s="45"/>
      <c r="F26" s="45"/>
      <c r="G26" s="81"/>
      <c r="H26" s="81"/>
    </row>
    <row r="27" spans="1:12" x14ac:dyDescent="0.2">
      <c r="D27" s="63"/>
      <c r="E27" s="46"/>
      <c r="F27" s="46"/>
      <c r="G27" s="81"/>
      <c r="H27" s="81"/>
    </row>
  </sheetData>
  <mergeCells count="14">
    <mergeCell ref="A14:A16"/>
    <mergeCell ref="E14:E16"/>
    <mergeCell ref="I14:I25"/>
    <mergeCell ref="A18:A20"/>
    <mergeCell ref="B18:B20"/>
    <mergeCell ref="G25:H25"/>
    <mergeCell ref="A11:A13"/>
    <mergeCell ref="E11:E13"/>
    <mergeCell ref="I11:I13"/>
    <mergeCell ref="A8:C8"/>
    <mergeCell ref="E8:G8"/>
    <mergeCell ref="I8:K8"/>
    <mergeCell ref="E9:G9"/>
    <mergeCell ref="I9:K9"/>
  </mergeCells>
  <phoneticPr fontId="5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9"/>
  <sheetViews>
    <sheetView topLeftCell="C10" workbookViewId="0">
      <selection activeCell="H39" sqref="H39"/>
    </sheetView>
  </sheetViews>
  <sheetFormatPr defaultRowHeight="12.75" x14ac:dyDescent="0.2"/>
  <cols>
    <col min="17" max="17" width="29.85546875" customWidth="1"/>
  </cols>
  <sheetData>
    <row r="2" spans="1:13" x14ac:dyDescent="0.2">
      <c r="A2" s="9"/>
      <c r="B2" s="142">
        <v>5.66</v>
      </c>
      <c r="C2" s="142">
        <v>11.16</v>
      </c>
      <c r="D2" s="142">
        <v>16.72</v>
      </c>
      <c r="E2" s="143">
        <v>25.04</v>
      </c>
      <c r="F2" s="143">
        <v>33.28</v>
      </c>
      <c r="G2" s="143">
        <v>41.76</v>
      </c>
      <c r="H2" s="143">
        <v>50</v>
      </c>
      <c r="I2" s="144">
        <v>55.5</v>
      </c>
      <c r="J2" s="143">
        <v>61.16</v>
      </c>
      <c r="K2" s="143" t="s">
        <v>840</v>
      </c>
    </row>
    <row r="3" spans="1:13" x14ac:dyDescent="0.2">
      <c r="A3" s="19" t="s">
        <v>0</v>
      </c>
      <c r="B3" s="145">
        <f>50/B2</f>
        <v>8.8339222614840995</v>
      </c>
      <c r="C3" s="145">
        <f t="shared" ref="C3:K3" si="0">50/C2</f>
        <v>4.4802867383512543</v>
      </c>
      <c r="D3" s="145">
        <f t="shared" si="0"/>
        <v>2.9904306220095696</v>
      </c>
      <c r="E3" s="145">
        <f t="shared" si="0"/>
        <v>1.9968051118210863</v>
      </c>
      <c r="F3" s="145">
        <f t="shared" si="0"/>
        <v>1.502403846153846</v>
      </c>
      <c r="G3" s="145">
        <f t="shared" si="0"/>
        <v>1.1973180076628354</v>
      </c>
      <c r="H3" s="145">
        <f t="shared" si="0"/>
        <v>1</v>
      </c>
      <c r="I3" s="145">
        <f t="shared" si="0"/>
        <v>0.90090090090090091</v>
      </c>
      <c r="J3" s="145">
        <f t="shared" si="0"/>
        <v>0.8175277959450622</v>
      </c>
      <c r="K3" s="145">
        <f t="shared" si="0"/>
        <v>0.75007950842789339</v>
      </c>
    </row>
    <row r="4" spans="1:13" x14ac:dyDescent="0.2">
      <c r="A4" s="19" t="s">
        <v>1</v>
      </c>
      <c r="B4" s="145"/>
      <c r="C4" s="145">
        <f t="shared" ref="C4:K4" si="1">B3/C3</f>
        <v>1.9717314487632511</v>
      </c>
      <c r="D4" s="145">
        <f t="shared" si="1"/>
        <v>1.4982078853046594</v>
      </c>
      <c r="E4" s="146">
        <f t="shared" si="1"/>
        <v>1.4976076555023923</v>
      </c>
      <c r="F4" s="146">
        <f t="shared" si="1"/>
        <v>1.3290734824281152</v>
      </c>
      <c r="G4" s="146">
        <f t="shared" si="1"/>
        <v>1.2548076923076921</v>
      </c>
      <c r="H4" s="146">
        <f t="shared" si="1"/>
        <v>1.1973180076628354</v>
      </c>
      <c r="I4" s="146">
        <f t="shared" si="1"/>
        <v>1.1099999999999999</v>
      </c>
      <c r="J4" s="146">
        <f t="shared" si="1"/>
        <v>1.1019819819819818</v>
      </c>
      <c r="K4" s="146">
        <f t="shared" si="1"/>
        <v>1.0899215173315893</v>
      </c>
      <c r="L4" s="12" t="s">
        <v>562</v>
      </c>
      <c r="M4" s="10">
        <f>B3/J3</f>
        <v>10.80565371024735</v>
      </c>
    </row>
    <row r="5" spans="1:13" x14ac:dyDescent="0.2">
      <c r="A5" s="9"/>
      <c r="B5" s="147">
        <f>100/B3</f>
        <v>11.319999999999999</v>
      </c>
      <c r="C5" s="147">
        <f t="shared" ref="C5:K5" si="2">100/C3</f>
        <v>22.32</v>
      </c>
      <c r="D5" s="147">
        <f t="shared" si="2"/>
        <v>33.44</v>
      </c>
      <c r="E5" s="148">
        <f t="shared" si="2"/>
        <v>50.08</v>
      </c>
      <c r="F5" s="148">
        <f t="shared" si="2"/>
        <v>66.56</v>
      </c>
      <c r="G5" s="148">
        <f t="shared" si="2"/>
        <v>83.52</v>
      </c>
      <c r="H5" s="148">
        <f t="shared" si="2"/>
        <v>100</v>
      </c>
      <c r="I5" s="148">
        <f t="shared" si="2"/>
        <v>111</v>
      </c>
      <c r="J5" s="148">
        <f t="shared" si="2"/>
        <v>122.32</v>
      </c>
      <c r="K5" s="148">
        <f t="shared" si="2"/>
        <v>133.3192</v>
      </c>
    </row>
    <row r="6" spans="1:13" x14ac:dyDescent="0.2">
      <c r="A6" s="2"/>
      <c r="B6" s="149">
        <f>1/B3</f>
        <v>0.1132</v>
      </c>
      <c r="C6" s="149">
        <f t="shared" ref="C6:K6" si="3">1/C3</f>
        <v>0.22320000000000001</v>
      </c>
      <c r="D6" s="149">
        <f t="shared" si="3"/>
        <v>0.33439999999999998</v>
      </c>
      <c r="E6" s="149">
        <f t="shared" si="3"/>
        <v>0.50080000000000002</v>
      </c>
      <c r="F6" s="149">
        <f t="shared" si="3"/>
        <v>0.66560000000000008</v>
      </c>
      <c r="G6" s="149">
        <f t="shared" si="3"/>
        <v>0.83519999999999994</v>
      </c>
      <c r="H6" s="149">
        <f t="shared" si="3"/>
        <v>1</v>
      </c>
      <c r="I6" s="149">
        <f t="shared" si="3"/>
        <v>1.1099999999999999</v>
      </c>
      <c r="J6" s="149">
        <f t="shared" si="3"/>
        <v>1.2231999999999998</v>
      </c>
      <c r="K6" s="149">
        <f t="shared" si="3"/>
        <v>1.3331919999999999</v>
      </c>
      <c r="L6" s="14"/>
    </row>
    <row r="8" spans="1:13" x14ac:dyDescent="0.2">
      <c r="A8" s="253" t="s">
        <v>60</v>
      </c>
      <c r="B8" s="253"/>
      <c r="C8" s="253"/>
      <c r="D8" s="63"/>
      <c r="E8" s="189" t="s">
        <v>97</v>
      </c>
      <c r="F8" s="189"/>
      <c r="G8" s="189"/>
      <c r="H8" s="14"/>
      <c r="I8" s="189" t="s">
        <v>98</v>
      </c>
      <c r="J8" s="189"/>
      <c r="K8" s="189"/>
      <c r="L8" s="14"/>
    </row>
    <row r="9" spans="1:13" x14ac:dyDescent="0.2">
      <c r="A9" s="2"/>
      <c r="B9" s="2"/>
      <c r="C9" s="2"/>
      <c r="D9" s="63"/>
      <c r="E9" s="185" t="s">
        <v>850</v>
      </c>
      <c r="F9" s="185"/>
      <c r="G9" s="185"/>
      <c r="H9" s="14"/>
      <c r="I9" s="185"/>
      <c r="J9" s="185"/>
      <c r="K9" s="185"/>
      <c r="L9" s="14"/>
    </row>
    <row r="10" spans="1:13" x14ac:dyDescent="0.2">
      <c r="A10" s="7" t="s">
        <v>2</v>
      </c>
      <c r="B10" s="8" t="s">
        <v>3</v>
      </c>
      <c r="C10" s="20" t="s">
        <v>0</v>
      </c>
      <c r="D10" s="63"/>
      <c r="E10" s="7"/>
      <c r="F10" s="7"/>
      <c r="G10" s="21"/>
      <c r="H10" s="14"/>
      <c r="I10" s="7"/>
      <c r="J10" s="7"/>
      <c r="K10" s="21"/>
      <c r="L10" s="14"/>
    </row>
    <row r="11" spans="1:13" x14ac:dyDescent="0.2">
      <c r="A11" s="187" t="s">
        <v>118</v>
      </c>
      <c r="B11" s="25" t="s">
        <v>136</v>
      </c>
      <c r="C11" s="150" t="s">
        <v>492</v>
      </c>
      <c r="D11" s="63"/>
      <c r="E11" s="216" t="s">
        <v>851</v>
      </c>
      <c r="F11" s="25" t="s">
        <v>136</v>
      </c>
      <c r="G11" s="150" t="s">
        <v>492</v>
      </c>
      <c r="H11" s="14"/>
      <c r="I11" s="187"/>
      <c r="J11" s="25"/>
      <c r="K11" s="25"/>
      <c r="L11" s="14"/>
    </row>
    <row r="12" spans="1:13" x14ac:dyDescent="0.2">
      <c r="A12" s="187"/>
      <c r="B12" s="5"/>
      <c r="C12" s="5"/>
      <c r="D12" s="63"/>
      <c r="E12" s="217"/>
      <c r="F12" s="5"/>
      <c r="G12" s="5"/>
      <c r="H12" s="14"/>
      <c r="I12" s="187"/>
      <c r="J12" s="5"/>
      <c r="K12" s="5"/>
      <c r="L12" s="14"/>
    </row>
    <row r="13" spans="1:13" x14ac:dyDescent="0.2">
      <c r="A13" s="187"/>
      <c r="B13" s="5"/>
      <c r="C13" s="5"/>
      <c r="D13" s="63"/>
      <c r="E13" s="217"/>
      <c r="F13" s="5"/>
      <c r="G13" s="5"/>
      <c r="H13" s="14"/>
      <c r="I13" s="187"/>
      <c r="J13" s="5"/>
      <c r="K13" s="5"/>
      <c r="L13" s="14"/>
    </row>
    <row r="14" spans="1:13" x14ac:dyDescent="0.2">
      <c r="A14" s="187" t="s">
        <v>847</v>
      </c>
      <c r="B14" s="18" t="s">
        <v>190</v>
      </c>
      <c r="C14" s="18" t="s">
        <v>848</v>
      </c>
      <c r="D14" s="63"/>
      <c r="E14" s="217"/>
      <c r="F14" s="18" t="s">
        <v>44</v>
      </c>
      <c r="G14" s="18" t="s">
        <v>170</v>
      </c>
      <c r="H14" s="2"/>
      <c r="I14" s="216"/>
      <c r="J14" s="29"/>
      <c r="K14" s="29"/>
      <c r="L14" s="14"/>
    </row>
    <row r="15" spans="1:13" x14ac:dyDescent="0.2">
      <c r="A15" s="187"/>
      <c r="B15" s="5"/>
      <c r="C15" s="5"/>
      <c r="D15" s="63"/>
      <c r="E15" s="217"/>
      <c r="F15" s="4"/>
      <c r="G15" s="4"/>
      <c r="H15" s="2"/>
      <c r="I15" s="217"/>
      <c r="J15" s="5"/>
      <c r="K15" s="5"/>
      <c r="L15" s="14"/>
    </row>
    <row r="16" spans="1:13" x14ac:dyDescent="0.2">
      <c r="A16" s="187"/>
      <c r="B16" s="5"/>
      <c r="C16" s="5"/>
      <c r="D16" s="63"/>
      <c r="E16" s="217"/>
      <c r="F16" s="4"/>
      <c r="G16" s="4"/>
      <c r="H16" s="2"/>
      <c r="I16" s="217"/>
      <c r="J16" s="5"/>
      <c r="K16" s="5"/>
      <c r="L16" s="14"/>
    </row>
    <row r="17" spans="1:12" x14ac:dyDescent="0.2">
      <c r="A17" s="187"/>
      <c r="B17" s="18" t="s">
        <v>849</v>
      </c>
      <c r="C17" s="18" t="s">
        <v>576</v>
      </c>
      <c r="D17" s="63"/>
      <c r="E17" s="217"/>
      <c r="F17" s="25" t="s">
        <v>71</v>
      </c>
      <c r="G17" s="25" t="s">
        <v>197</v>
      </c>
      <c r="H17" s="46"/>
      <c r="I17" s="217"/>
      <c r="J17" s="18"/>
      <c r="K17" s="18"/>
      <c r="L17" s="14"/>
    </row>
    <row r="18" spans="1:12" x14ac:dyDescent="0.2">
      <c r="A18" s="187"/>
      <c r="B18" s="5"/>
      <c r="C18" s="5"/>
      <c r="D18" s="63"/>
      <c r="E18" s="217"/>
      <c r="F18" s="5"/>
      <c r="G18" s="5"/>
      <c r="H18" s="46"/>
      <c r="I18" s="217"/>
      <c r="J18" s="5"/>
      <c r="K18" s="5"/>
      <c r="L18" s="14"/>
    </row>
    <row r="19" spans="1:12" x14ac:dyDescent="0.2">
      <c r="A19" s="187"/>
      <c r="B19" s="5"/>
      <c r="C19" s="5"/>
      <c r="D19" s="63"/>
      <c r="E19" s="217"/>
      <c r="F19" s="5"/>
      <c r="G19" s="5"/>
      <c r="H19" s="46"/>
      <c r="I19" s="217"/>
      <c r="J19" s="5"/>
      <c r="K19" s="5"/>
      <c r="L19" s="14"/>
    </row>
    <row r="20" spans="1:12" x14ac:dyDescent="0.2">
      <c r="A20" s="187"/>
      <c r="B20" s="25" t="s">
        <v>123</v>
      </c>
      <c r="C20" s="25" t="s">
        <v>187</v>
      </c>
      <c r="D20" s="63"/>
      <c r="E20" s="217"/>
      <c r="F20" s="18" t="s">
        <v>213</v>
      </c>
      <c r="G20" s="18" t="s">
        <v>479</v>
      </c>
      <c r="H20" s="46"/>
      <c r="I20" s="217"/>
      <c r="J20" s="25"/>
      <c r="K20" s="25"/>
      <c r="L20" s="14"/>
    </row>
    <row r="21" spans="1:12" x14ac:dyDescent="0.2">
      <c r="A21" s="187"/>
      <c r="B21" s="5"/>
      <c r="C21" s="5"/>
      <c r="D21" s="63"/>
      <c r="E21" s="217"/>
      <c r="F21" s="4"/>
      <c r="G21" s="4"/>
      <c r="H21" s="46"/>
      <c r="I21" s="217"/>
      <c r="J21" s="5"/>
      <c r="K21" s="5"/>
      <c r="L21" s="14"/>
    </row>
    <row r="22" spans="1:12" x14ac:dyDescent="0.2">
      <c r="A22" s="187"/>
      <c r="B22" s="5"/>
      <c r="C22" s="5"/>
      <c r="D22" s="63"/>
      <c r="E22" s="218"/>
      <c r="F22" s="4"/>
      <c r="G22" s="4"/>
      <c r="H22" s="46"/>
      <c r="I22" s="217"/>
      <c r="J22" s="5"/>
      <c r="K22" s="5"/>
      <c r="L22" s="14"/>
    </row>
    <row r="23" spans="1:12" x14ac:dyDescent="0.2">
      <c r="A23" s="187"/>
      <c r="B23" s="18" t="s">
        <v>10</v>
      </c>
      <c r="C23" s="18" t="s">
        <v>179</v>
      </c>
      <c r="D23" s="63"/>
      <c r="E23" s="46"/>
      <c r="F23" s="45"/>
      <c r="G23" s="45"/>
      <c r="H23" s="46"/>
      <c r="I23" s="217"/>
      <c r="J23" s="25"/>
      <c r="K23" s="150"/>
      <c r="L23" s="14"/>
    </row>
    <row r="24" spans="1:12" x14ac:dyDescent="0.2">
      <c r="A24" s="187"/>
      <c r="B24" s="5"/>
      <c r="C24" s="5"/>
      <c r="D24" s="63"/>
      <c r="E24" s="81"/>
      <c r="F24" s="81"/>
      <c r="G24" s="81"/>
      <c r="H24" s="81"/>
      <c r="I24" s="217"/>
      <c r="J24" s="5"/>
      <c r="K24" s="5"/>
    </row>
    <row r="25" spans="1:12" x14ac:dyDescent="0.2">
      <c r="A25" s="187"/>
      <c r="B25" s="5"/>
      <c r="C25" s="5"/>
      <c r="D25" s="63"/>
      <c r="E25" s="46"/>
      <c r="F25" s="46"/>
      <c r="G25" s="259"/>
      <c r="H25" s="259"/>
      <c r="I25" s="218"/>
      <c r="J25" s="5"/>
      <c r="K25" s="5"/>
    </row>
    <row r="26" spans="1:12" x14ac:dyDescent="0.2">
      <c r="A26" s="5" t="s">
        <v>841</v>
      </c>
      <c r="B26" s="5" t="s">
        <v>41</v>
      </c>
      <c r="C26" s="5" t="s">
        <v>158</v>
      </c>
      <c r="D26" s="63"/>
      <c r="E26" s="12" t="s">
        <v>190</v>
      </c>
      <c r="F26" s="12" t="s">
        <v>852</v>
      </c>
      <c r="G26" s="81"/>
      <c r="H26" s="81"/>
    </row>
    <row r="27" spans="1:12" x14ac:dyDescent="0.2">
      <c r="D27" s="63"/>
      <c r="E27" s="15" t="s">
        <v>184</v>
      </c>
      <c r="F27" s="15" t="s">
        <v>179</v>
      </c>
      <c r="G27" s="81"/>
      <c r="H27" s="81"/>
    </row>
    <row r="28" spans="1:12" x14ac:dyDescent="0.2">
      <c r="E28" s="15">
        <v>459</v>
      </c>
      <c r="F28" s="15">
        <v>-3.04</v>
      </c>
      <c r="G28" s="14" t="s">
        <v>853</v>
      </c>
      <c r="H28" s="14"/>
    </row>
    <row r="29" spans="1:12" x14ac:dyDescent="0.2">
      <c r="E29" s="15" t="s">
        <v>213</v>
      </c>
      <c r="F29" s="15" t="s">
        <v>479</v>
      </c>
      <c r="G29" s="14"/>
      <c r="H29" s="14"/>
    </row>
    <row r="30" spans="1:12" x14ac:dyDescent="0.2">
      <c r="E30" s="15" t="s">
        <v>41</v>
      </c>
      <c r="F30" s="15" t="s">
        <v>158</v>
      </c>
      <c r="G30" s="14"/>
      <c r="H30" s="14"/>
    </row>
    <row r="31" spans="1:12" x14ac:dyDescent="0.2">
      <c r="E31" s="15" t="s">
        <v>41</v>
      </c>
      <c r="F31" s="15" t="s">
        <v>169</v>
      </c>
      <c r="G31" s="14"/>
      <c r="H31" s="14"/>
    </row>
    <row r="32" spans="1:12" x14ac:dyDescent="0.2">
      <c r="D32" s="39"/>
      <c r="E32" s="43"/>
      <c r="F32" s="43"/>
      <c r="G32" s="14"/>
      <c r="H32" s="14"/>
    </row>
    <row r="33" spans="5:20" x14ac:dyDescent="0.2">
      <c r="E33" s="12" t="s">
        <v>190</v>
      </c>
      <c r="F33" s="12" t="s">
        <v>852</v>
      </c>
      <c r="G33" s="81"/>
      <c r="H33" s="81"/>
    </row>
    <row r="34" spans="5:20" x14ac:dyDescent="0.2">
      <c r="E34" s="15" t="s">
        <v>10</v>
      </c>
      <c r="F34" s="15" t="s">
        <v>179</v>
      </c>
      <c r="G34" s="81"/>
      <c r="H34" s="81"/>
    </row>
    <row r="35" spans="5:20" x14ac:dyDescent="0.2">
      <c r="E35" s="15">
        <v>459</v>
      </c>
      <c r="F35" s="15">
        <v>-3.04</v>
      </c>
      <c r="G35" s="14" t="s">
        <v>857</v>
      </c>
      <c r="H35" s="14"/>
    </row>
    <row r="36" spans="5:20" x14ac:dyDescent="0.2">
      <c r="E36" s="15" t="s">
        <v>213</v>
      </c>
      <c r="F36" s="15" t="s">
        <v>479</v>
      </c>
      <c r="G36" s="14"/>
      <c r="H36" s="14"/>
    </row>
    <row r="37" spans="5:20" x14ac:dyDescent="0.2">
      <c r="E37" s="15" t="s">
        <v>41</v>
      </c>
      <c r="F37" s="15" t="s">
        <v>158</v>
      </c>
      <c r="G37" s="14"/>
      <c r="H37" s="14"/>
    </row>
    <row r="38" spans="5:20" x14ac:dyDescent="0.2">
      <c r="E38" s="15" t="s">
        <v>41</v>
      </c>
      <c r="F38" s="15" t="s">
        <v>169</v>
      </c>
      <c r="G38" s="14"/>
      <c r="H38" s="14"/>
    </row>
    <row r="39" spans="5:20" x14ac:dyDescent="0.2">
      <c r="E39" s="14"/>
      <c r="F39" s="14"/>
      <c r="G39" s="14"/>
      <c r="H39" s="14"/>
    </row>
    <row r="43" spans="5:20" ht="26.25" x14ac:dyDescent="0.4">
      <c r="E43" s="251" t="s">
        <v>854</v>
      </c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</row>
    <row r="45" spans="5:20" ht="25.5" x14ac:dyDescent="0.35">
      <c r="E45" s="250" t="s">
        <v>856</v>
      </c>
      <c r="F45" s="250"/>
      <c r="G45" s="250"/>
      <c r="H45" s="250"/>
      <c r="I45" s="250"/>
      <c r="J45" s="250"/>
      <c r="K45" s="250"/>
      <c r="L45" s="250"/>
      <c r="M45" s="250"/>
    </row>
    <row r="46" spans="5:20" ht="25.5" x14ac:dyDescent="0.35">
      <c r="E46" s="138"/>
      <c r="F46" s="138"/>
      <c r="G46" s="138"/>
      <c r="H46" s="138"/>
      <c r="I46" s="138"/>
      <c r="J46" s="138"/>
      <c r="K46" s="138"/>
      <c r="L46" s="138"/>
      <c r="M46" s="138"/>
    </row>
    <row r="47" spans="5:20" ht="25.5" x14ac:dyDescent="0.35">
      <c r="E47" s="250" t="s">
        <v>835</v>
      </c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</row>
    <row r="49" spans="5:16" ht="25.5" x14ac:dyDescent="0.35">
      <c r="E49" s="250" t="s">
        <v>855</v>
      </c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</row>
  </sheetData>
  <mergeCells count="15">
    <mergeCell ref="I14:I25"/>
    <mergeCell ref="G25:H25"/>
    <mergeCell ref="A14:A25"/>
    <mergeCell ref="E49:P49"/>
    <mergeCell ref="E11:E22"/>
    <mergeCell ref="E43:Q43"/>
    <mergeCell ref="E45:M45"/>
    <mergeCell ref="E47:T47"/>
    <mergeCell ref="A11:A13"/>
    <mergeCell ref="I11:I13"/>
    <mergeCell ref="A8:C8"/>
    <mergeCell ref="E8:G8"/>
    <mergeCell ref="I8:K8"/>
    <mergeCell ref="E9:G9"/>
    <mergeCell ref="I9:K9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4R81</vt:lpstr>
      <vt:lpstr>4R82</vt:lpstr>
      <vt:lpstr>4R83</vt:lpstr>
      <vt:lpstr>4R84</vt:lpstr>
      <vt:lpstr>4R85</vt:lpstr>
      <vt:lpstr>4R86</vt:lpstr>
      <vt:lpstr>4R91</vt:lpstr>
      <vt:lpstr>4R92</vt:lpstr>
      <vt:lpstr>4R93</vt:lpstr>
      <vt:lpstr>4R94</vt:lpstr>
      <vt:lpstr>4R95</vt:lpstr>
      <vt:lpstr>4R96</vt:lpstr>
      <vt:lpstr>4R97</vt:lpstr>
      <vt:lpstr>4R98</vt:lpstr>
      <vt:lpstr>4R99</vt:lpstr>
      <vt:lpstr>4R910</vt:lpstr>
      <vt:lpstr>4R911</vt:lpstr>
      <vt:lpstr>4R912</vt:lpstr>
      <vt:lpstr>4R913</vt:lpstr>
      <vt:lpstr>4R101</vt:lpstr>
      <vt:lpstr>4R102</vt:lpstr>
      <vt:lpstr>4R103</vt:lpstr>
      <vt:lpstr>4R104</vt:lpstr>
      <vt:lpstr>4R105</vt:lpstr>
      <vt:lpstr>4R106</vt:lpstr>
      <vt:lpstr>4R107</vt:lpstr>
    </vt:vector>
  </TitlesOfParts>
  <Company>48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Харитонов</dc:creator>
  <cp:lastModifiedBy>Kh</cp:lastModifiedBy>
  <cp:lastPrinted>2005-06-10T11:16:41Z</cp:lastPrinted>
  <dcterms:created xsi:type="dcterms:W3CDTF">2005-05-11T17:14:31Z</dcterms:created>
  <dcterms:modified xsi:type="dcterms:W3CDTF">2021-12-01T16:55:30Z</dcterms:modified>
</cp:coreProperties>
</file>